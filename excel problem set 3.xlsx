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drawings/drawing3.xml" ContentType="application/vnd.openxmlformats-officedocument.drawing+xml"/>
  <Override PartName="/xl/drawings/drawing4.xml" ContentType="application/vnd.openxmlformats-officedocument.drawing+xml"/>
  <Override PartName="/xl/pivotTables/pivotTable1.xml" ContentType="application/vnd.openxmlformats-officedocument.spreadsheetml.pivotTable+xml"/>
  <Override PartName="/xl/drawings/drawing5.xml" ContentType="application/vnd.openxmlformats-officedocument.drawing+xml"/>
  <Override PartName="/xl/drawings/drawing6.xml" ContentType="application/vnd.openxmlformats-officedocument.drawing+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defaultThemeVersion="166925"/>
  <mc:AlternateContent xmlns:mc="http://schemas.openxmlformats.org/markup-compatibility/2006">
    <mc:Choice Requires="x15">
      <x15ac:absPath xmlns:x15ac="http://schemas.microsoft.com/office/spreadsheetml/2010/11/ac" url="/Users/troyspellman/Desktop/QMBE_1320_Troy_Spellman/"/>
    </mc:Choice>
  </mc:AlternateContent>
  <xr:revisionPtr revIDLastSave="0" documentId="13_ncr:1_{F5F1651B-546D-4F45-8435-D2D014BE4542}" xr6:coauthVersionLast="47" xr6:coauthVersionMax="47" xr10:uidLastSave="{00000000-0000-0000-0000-000000000000}"/>
  <bookViews>
    <workbookView xWindow="0" yWindow="760" windowWidth="18060" windowHeight="17280" activeTab="5" xr2:uid="{740FD8DC-7B53-4E78-8E3A-26D1AA96C0C6}"/>
  </bookViews>
  <sheets>
    <sheet name="Question 1" sheetId="2" r:id="rId1"/>
    <sheet name="Question 2" sheetId="3" r:id="rId2"/>
    <sheet name="Question 3" sheetId="4" r:id="rId3"/>
    <sheet name="Question 4" sheetId="5" r:id="rId4"/>
    <sheet name="Question 5" sheetId="6" r:id="rId5"/>
    <sheet name="Question 6" sheetId="8" r:id="rId6"/>
  </sheets>
  <definedNames>
    <definedName name="_xlnm._FilterDatabase" localSheetId="3" hidden="1">'Question 4'!$A$2:$E$10</definedName>
  </definedNames>
  <calcPr calcId="191029"/>
  <pivotCaches>
    <pivotCache cacheId="19" r:id="rId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 i="6" l="1"/>
  <c r="C4" i="6"/>
  <c r="C5" i="6"/>
  <c r="C6" i="6"/>
  <c r="C7" i="6"/>
  <c r="C8" i="6"/>
  <c r="C9" i="6"/>
  <c r="C10" i="6"/>
  <c r="C11" i="6"/>
  <c r="C12" i="6"/>
  <c r="C13" i="6"/>
  <c r="C14" i="6"/>
  <c r="C15" i="6"/>
  <c r="C16" i="6"/>
  <c r="C17" i="6"/>
  <c r="C18" i="6"/>
  <c r="C19" i="6"/>
  <c r="C20" i="6"/>
  <c r="C21" i="6"/>
  <c r="C2" i="6"/>
  <c r="K7" i="3"/>
  <c r="K6" i="3"/>
  <c r="K5" i="3"/>
  <c r="K4" i="3"/>
</calcChain>
</file>

<file path=xl/sharedStrings.xml><?xml version="1.0" encoding="utf-8"?>
<sst xmlns="http://schemas.openxmlformats.org/spreadsheetml/2006/main" count="98" uniqueCount="74">
  <si>
    <t>Question</t>
  </si>
  <si>
    <t>Type</t>
  </si>
  <si>
    <t>What is your age?</t>
  </si>
  <si>
    <t>Are you male or female?</t>
  </si>
  <si>
    <t>When did you first start reading the WSJ? High school, college, early career, midcareer, late career, or retirement?</t>
  </si>
  <si>
    <t>How long have you been in yout present job or position (in years)?</t>
  </si>
  <si>
    <t xml:space="preserve">What type of vehivle are you considering for your next purchase? Nine response categories include sedan, sports car, SUV, minivan, and so on. </t>
  </si>
  <si>
    <t>Data</t>
  </si>
  <si>
    <t xml:space="preserve">Year      </t>
  </si>
  <si>
    <t xml:space="preserve">Stivers ($) </t>
  </si>
  <si>
    <t>Trippi ($)</t>
  </si>
  <si>
    <t>Salesperson</t>
  </si>
  <si>
    <t>Total Sales ($)</t>
  </si>
  <si>
    <t>Average Performance Bonus Previous Years ($)</t>
  </si>
  <si>
    <t>Customer Accounts</t>
  </si>
  <si>
    <t>Years with Company</t>
  </si>
  <si>
    <t>Smith, Michael</t>
  </si>
  <si>
    <t>Yu, Joe</t>
  </si>
  <si>
    <t>Reeves, Bill</t>
  </si>
  <si>
    <t>Hamilton, Joshua</t>
  </si>
  <si>
    <t>Harper, Derek</t>
  </si>
  <si>
    <t>Quinn, Dorothy</t>
  </si>
  <si>
    <t>Graves, Lorrie</t>
  </si>
  <si>
    <t>Sun, Yi</t>
  </si>
  <si>
    <t>Thompson, Nicole</t>
  </si>
  <si>
    <t>Franchise</t>
  </si>
  <si>
    <t># U.S. Locations</t>
  </si>
  <si>
    <t>Hampton Inns</t>
  </si>
  <si>
    <t>ampm</t>
  </si>
  <si>
    <t>McDonald's</t>
  </si>
  <si>
    <t>7-Eleven, Inc.</t>
  </si>
  <si>
    <t>Supercuts</t>
  </si>
  <si>
    <t>Days Inn</t>
  </si>
  <si>
    <t>Vanguard Cleaning Systems</t>
  </si>
  <si>
    <t>Servpro</t>
  </si>
  <si>
    <t>Subway</t>
  </si>
  <si>
    <t>Denny's Inc.</t>
  </si>
  <si>
    <t>Jan-Pro Franchising Intl Inc.</t>
  </si>
  <si>
    <t>Hardee's</t>
  </si>
  <si>
    <t>Pizza Hut Inc.</t>
  </si>
  <si>
    <t>Kumon Math &amp; Reading Centers</t>
  </si>
  <si>
    <t>Dunkin' Donuts</t>
  </si>
  <si>
    <t>KFC Corp.</t>
  </si>
  <si>
    <t>Jazzercise Inc.</t>
  </si>
  <si>
    <t>Anytime Fitness</t>
  </si>
  <si>
    <t>Matco Tools</t>
  </si>
  <si>
    <t>Stratus Building Solutions</t>
  </si>
  <si>
    <t>Observation</t>
  </si>
  <si>
    <t>x</t>
  </si>
  <si>
    <t>y</t>
  </si>
  <si>
    <t>quantitative</t>
  </si>
  <si>
    <t>categorical</t>
  </si>
  <si>
    <t>A: quantitative</t>
  </si>
  <si>
    <t>Relative Frequency</t>
  </si>
  <si>
    <t>Percent Frequency</t>
  </si>
  <si>
    <t>B and C:</t>
  </si>
  <si>
    <t>E:</t>
  </si>
  <si>
    <t xml:space="preserve">20th </t>
  </si>
  <si>
    <t>25th</t>
  </si>
  <si>
    <t>65th</t>
  </si>
  <si>
    <t>75th</t>
  </si>
  <si>
    <t>Row Labels</t>
  </si>
  <si>
    <t>Grand Total</t>
  </si>
  <si>
    <t>Column Labels</t>
  </si>
  <si>
    <t xml:space="preserve"> </t>
  </si>
  <si>
    <t>Bin</t>
  </si>
  <si>
    <t>Frequency</t>
  </si>
  <si>
    <t>Total</t>
  </si>
  <si>
    <t>0-9,999</t>
  </si>
  <si>
    <t>Location Counts</t>
  </si>
  <si>
    <t>10,000-19,999</t>
  </si>
  <si>
    <t>20,000-29,999</t>
  </si>
  <si>
    <t>30,000-39,999</t>
  </si>
  <si>
    <t>Count of # U.S. Locations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</si>
</sst>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0000"/>
    <numFmt numFmtId="165" formatCode="_(* #,##0_);_(* \(#,##0\);_(* &quot;-&quot;??_);_(@_)"/>
  </numFmts>
  <fonts count="11" x14ac:knownFonts="1">
    <font>
      <sz val="11"/>
      <color theme="1"/>
      <name val="Calibri"/>
      <family val="2"/>
      <scheme val="minor"/>
    </font>
    <font>
      <sz val="11"/>
      <color theme="1"/>
      <name val="Calibri"/>
      <family val="2"/>
      <scheme val="minor"/>
    </font>
    <font>
      <b/>
      <sz val="11"/>
      <color theme="1"/>
      <name val="Calibri"/>
      <family val="2"/>
      <scheme val="minor"/>
    </font>
    <font>
      <b/>
      <sz val="12"/>
      <name val="Times New Roman"/>
      <family val="1"/>
    </font>
    <font>
      <b/>
      <sz val="12"/>
      <color theme="1"/>
      <name val="Times New Roman"/>
      <family val="1"/>
    </font>
    <font>
      <sz val="12"/>
      <color theme="1"/>
      <name val="Times New Roman"/>
      <family val="1"/>
    </font>
    <font>
      <sz val="12"/>
      <name val="Times New Roman"/>
      <family val="1"/>
    </font>
    <font>
      <sz val="8"/>
      <name val="Calibri"/>
      <family val="2"/>
      <scheme val="minor"/>
    </font>
    <font>
      <b/>
      <sz val="14"/>
      <color theme="1"/>
      <name val="Calibri (Body)"/>
    </font>
    <font>
      <b/>
      <sz val="11"/>
      <color theme="1"/>
      <name val="Calibri (Body)"/>
    </font>
    <font>
      <i/>
      <sz val="11"/>
      <color theme="1"/>
      <name val="Calibri"/>
      <family val="2"/>
      <scheme val="minor"/>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2">
    <xf numFmtId="0" fontId="0" fillId="0" borderId="0"/>
    <xf numFmtId="43" fontId="1" fillId="0" borderId="0" applyFont="0" applyFill="0" applyBorder="0" applyAlignment="0" applyProtection="0"/>
  </cellStyleXfs>
  <cellXfs count="29">
    <xf numFmtId="0" fontId="0" fillId="0" borderId="0" xfId="0"/>
    <xf numFmtId="0" fontId="2" fillId="0" borderId="1" xfId="0" applyFont="1" applyBorder="1"/>
    <xf numFmtId="0" fontId="0" fillId="0" borderId="1" xfId="0" applyBorder="1" applyAlignment="1">
      <alignment wrapText="1"/>
    </xf>
    <xf numFmtId="0" fontId="0" fillId="0" borderId="1" xfId="0" applyBorder="1"/>
    <xf numFmtId="0" fontId="3" fillId="0" borderId="0" xfId="0" applyFont="1" applyAlignment="1">
      <alignment horizontal="center"/>
    </xf>
    <xf numFmtId="0" fontId="4" fillId="0" borderId="0" xfId="0" applyFont="1" applyAlignment="1">
      <alignment vertical="center"/>
    </xf>
    <xf numFmtId="0" fontId="4" fillId="0" borderId="0" xfId="0" applyFont="1"/>
    <xf numFmtId="0" fontId="5" fillId="0" borderId="0" xfId="0" applyFont="1" applyAlignment="1">
      <alignment vertical="center"/>
    </xf>
    <xf numFmtId="0" fontId="4" fillId="0" borderId="1" xfId="0" applyFont="1" applyBorder="1" applyAlignment="1">
      <alignment horizontal="center"/>
    </xf>
    <xf numFmtId="164" fontId="4" fillId="0" borderId="1" xfId="0" applyNumberFormat="1" applyFont="1" applyBorder="1" applyAlignment="1">
      <alignment horizontal="center"/>
    </xf>
    <xf numFmtId="0" fontId="4" fillId="0" borderId="2" xfId="0" applyFont="1" applyBorder="1"/>
    <xf numFmtId="0" fontId="4" fillId="0" borderId="2" xfId="0" applyFont="1" applyBorder="1" applyAlignment="1">
      <alignment horizontal="right"/>
    </xf>
    <xf numFmtId="165" fontId="0" fillId="0" borderId="0" xfId="1" applyNumberFormat="1" applyFont="1"/>
    <xf numFmtId="0" fontId="6" fillId="0" borderId="0" xfId="0" applyFont="1" applyAlignment="1">
      <alignment horizontal="center"/>
    </xf>
    <xf numFmtId="0" fontId="6" fillId="0" borderId="0" xfId="0" applyFont="1"/>
    <xf numFmtId="0" fontId="2" fillId="0" borderId="0" xfId="0" applyFont="1"/>
    <xf numFmtId="49" fontId="0" fillId="0" borderId="1" xfId="0" applyNumberFormat="1" applyBorder="1"/>
    <xf numFmtId="0" fontId="8" fillId="0" borderId="0" xfId="0" applyFont="1"/>
    <xf numFmtId="10" fontId="0" fillId="0" borderId="1" xfId="0" applyNumberFormat="1" applyBorder="1"/>
    <xf numFmtId="0" fontId="9" fillId="0" borderId="0" xfId="0" applyFont="1" applyAlignment="1">
      <alignment horizontal="center"/>
    </xf>
    <xf numFmtId="0" fontId="0" fillId="0" borderId="0" xfId="0" pivotButton="1"/>
    <xf numFmtId="0" fontId="0" fillId="0" borderId="0" xfId="0" applyAlignment="1">
      <alignment horizontal="left"/>
    </xf>
    <xf numFmtId="9" fontId="0" fillId="0" borderId="0" xfId="0" applyNumberFormat="1"/>
    <xf numFmtId="0" fontId="0" fillId="0" borderId="0" xfId="0" applyNumberFormat="1"/>
    <xf numFmtId="2" fontId="0" fillId="0" borderId="0" xfId="0" applyNumberFormat="1" applyAlignment="1">
      <alignment horizontal="center"/>
    </xf>
    <xf numFmtId="2" fontId="0" fillId="0" borderId="0" xfId="0" applyNumberFormat="1"/>
    <xf numFmtId="0" fontId="10" fillId="0" borderId="1" xfId="0" applyFont="1" applyFill="1" applyBorder="1" applyAlignment="1">
      <alignment horizontal="center"/>
    </xf>
    <xf numFmtId="0" fontId="0" fillId="0" borderId="1" xfId="0" applyNumberFormat="1" applyFill="1" applyBorder="1" applyAlignment="1"/>
    <xf numFmtId="0" fontId="0" fillId="0" borderId="1" xfId="0" applyFill="1" applyBorder="1" applyAlignment="1"/>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Histogram</a:t>
            </a:r>
          </a:p>
        </c:rich>
      </c:tx>
      <c:overlay val="0"/>
    </c:title>
    <c:autoTitleDeleted val="0"/>
    <c:plotArea>
      <c:layout/>
      <c:barChart>
        <c:barDir val="col"/>
        <c:grouping val="clustered"/>
        <c:varyColors val="0"/>
        <c:ser>
          <c:idx val="0"/>
          <c:order val="0"/>
          <c:tx>
            <c:v>Frequency</c:v>
          </c:tx>
          <c:invertIfNegative val="0"/>
          <c:cat>
            <c:numRef>
              <c:f>'Question 2'!$E$4:$E$9</c:f>
              <c:numCache>
                <c:formatCode>General</c:formatCode>
                <c:ptCount val="6"/>
                <c:pt idx="0">
                  <c:v>14</c:v>
                </c:pt>
                <c:pt idx="1">
                  <c:v>17</c:v>
                </c:pt>
                <c:pt idx="2">
                  <c:v>20</c:v>
                </c:pt>
                <c:pt idx="3">
                  <c:v>23</c:v>
                </c:pt>
                <c:pt idx="4">
                  <c:v>26</c:v>
                </c:pt>
              </c:numCache>
            </c:numRef>
          </c:cat>
          <c:val>
            <c:numRef>
              <c:f>'Question 2'!$F$4:$F$9</c:f>
              <c:numCache>
                <c:formatCode>General</c:formatCode>
                <c:ptCount val="6"/>
                <c:pt idx="0">
                  <c:v>2</c:v>
                </c:pt>
                <c:pt idx="1">
                  <c:v>8</c:v>
                </c:pt>
                <c:pt idx="2">
                  <c:v>11</c:v>
                </c:pt>
                <c:pt idx="3">
                  <c:v>10</c:v>
                </c:pt>
                <c:pt idx="4">
                  <c:v>9</c:v>
                </c:pt>
              </c:numCache>
            </c:numRef>
          </c:val>
          <c:extLst>
            <c:ext xmlns:c16="http://schemas.microsoft.com/office/drawing/2014/chart" uri="{C3380CC4-5D6E-409C-BE32-E72D297353CC}">
              <c16:uniqueId val="{00000001-F8BA-EF45-B578-ABBEF60E7660}"/>
            </c:ext>
          </c:extLst>
        </c:ser>
        <c:dLbls>
          <c:showLegendKey val="0"/>
          <c:showVal val="0"/>
          <c:showCatName val="0"/>
          <c:showSerName val="0"/>
          <c:showPercent val="0"/>
          <c:showBubbleSize val="0"/>
        </c:dLbls>
        <c:gapWidth val="150"/>
        <c:axId val="1128180288"/>
        <c:axId val="1287506880"/>
      </c:barChart>
      <c:catAx>
        <c:axId val="1128180288"/>
        <c:scaling>
          <c:orientation val="minMax"/>
        </c:scaling>
        <c:delete val="0"/>
        <c:axPos val="b"/>
        <c:title>
          <c:tx>
            <c:rich>
              <a:bodyPr/>
              <a:lstStyle/>
              <a:p>
                <a:pPr>
                  <a:defRPr/>
                </a:pPr>
                <a:r>
                  <a:rPr lang="en-US"/>
                  <a:t>Bin</a:t>
                </a:r>
              </a:p>
            </c:rich>
          </c:tx>
          <c:overlay val="0"/>
        </c:title>
        <c:numFmt formatCode="General" sourceLinked="1"/>
        <c:majorTickMark val="out"/>
        <c:minorTickMark val="none"/>
        <c:tickLblPos val="nextTo"/>
        <c:crossAx val="1287506880"/>
        <c:crosses val="autoZero"/>
        <c:auto val="1"/>
        <c:lblAlgn val="ctr"/>
        <c:lblOffset val="100"/>
        <c:noMultiLvlLbl val="0"/>
      </c:catAx>
      <c:valAx>
        <c:axId val="1287506880"/>
        <c:scaling>
          <c:orientation val="minMax"/>
        </c:scaling>
        <c:delete val="0"/>
        <c:axPos val="l"/>
        <c:title>
          <c:tx>
            <c:rich>
              <a:bodyPr/>
              <a:lstStyle/>
              <a:p>
                <a:pPr>
                  <a:defRPr/>
                </a:pPr>
                <a:r>
                  <a:rPr lang="en-US"/>
                  <a:t>Frequency</a:t>
                </a:r>
              </a:p>
            </c:rich>
          </c:tx>
          <c:overlay val="0"/>
        </c:title>
        <c:numFmt formatCode="General" sourceLinked="1"/>
        <c:majorTickMark val="out"/>
        <c:minorTickMark val="none"/>
        <c:tickLblPos val="nextTo"/>
        <c:crossAx val="1128180288"/>
        <c:crosses val="autoZero"/>
        <c:crossBetween val="between"/>
      </c:valAx>
    </c:plotArea>
    <c:legend>
      <c:legendPos val="r"/>
      <c:overlay val="0"/>
    </c:legend>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observation</a:t>
            </a:r>
            <a:r>
              <a:rPr lang="en-US" baseline="0"/>
              <a:t> chart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'Question 6'!$C$1</c:f>
              <c:strCache>
                <c:ptCount val="1"/>
                <c:pt idx="0">
                  <c:v>y</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'Question 6'!$B$2:$B$21</c:f>
              <c:numCache>
                <c:formatCode>General</c:formatCode>
                <c:ptCount val="20"/>
                <c:pt idx="0">
                  <c:v>-22</c:v>
                </c:pt>
                <c:pt idx="1">
                  <c:v>-33</c:v>
                </c:pt>
                <c:pt idx="2">
                  <c:v>2</c:v>
                </c:pt>
                <c:pt idx="3">
                  <c:v>29</c:v>
                </c:pt>
                <c:pt idx="4">
                  <c:v>-13</c:v>
                </c:pt>
                <c:pt idx="5">
                  <c:v>21</c:v>
                </c:pt>
                <c:pt idx="6">
                  <c:v>-13</c:v>
                </c:pt>
                <c:pt idx="7">
                  <c:v>-23</c:v>
                </c:pt>
                <c:pt idx="8">
                  <c:v>14</c:v>
                </c:pt>
                <c:pt idx="9">
                  <c:v>3</c:v>
                </c:pt>
                <c:pt idx="10">
                  <c:v>-37</c:v>
                </c:pt>
                <c:pt idx="11">
                  <c:v>34</c:v>
                </c:pt>
                <c:pt idx="12">
                  <c:v>9</c:v>
                </c:pt>
                <c:pt idx="13">
                  <c:v>-33</c:v>
                </c:pt>
                <c:pt idx="14">
                  <c:v>20</c:v>
                </c:pt>
                <c:pt idx="15">
                  <c:v>-3</c:v>
                </c:pt>
                <c:pt idx="16">
                  <c:v>-15</c:v>
                </c:pt>
                <c:pt idx="17">
                  <c:v>12</c:v>
                </c:pt>
                <c:pt idx="18">
                  <c:v>-20</c:v>
                </c:pt>
                <c:pt idx="19">
                  <c:v>-7</c:v>
                </c:pt>
              </c:numCache>
            </c:numRef>
          </c:xVal>
          <c:yVal>
            <c:numRef>
              <c:f>'Question 6'!$C$2:$C$21</c:f>
              <c:numCache>
                <c:formatCode>General</c:formatCode>
                <c:ptCount val="20"/>
                <c:pt idx="0">
                  <c:v>22</c:v>
                </c:pt>
                <c:pt idx="1">
                  <c:v>49</c:v>
                </c:pt>
                <c:pt idx="2">
                  <c:v>8</c:v>
                </c:pt>
                <c:pt idx="3">
                  <c:v>-16</c:v>
                </c:pt>
                <c:pt idx="4">
                  <c:v>10</c:v>
                </c:pt>
                <c:pt idx="5">
                  <c:v>-28</c:v>
                </c:pt>
                <c:pt idx="6">
                  <c:v>27</c:v>
                </c:pt>
                <c:pt idx="7">
                  <c:v>35</c:v>
                </c:pt>
                <c:pt idx="8">
                  <c:v>-5</c:v>
                </c:pt>
                <c:pt idx="9">
                  <c:v>-3</c:v>
                </c:pt>
                <c:pt idx="10">
                  <c:v>48</c:v>
                </c:pt>
                <c:pt idx="11">
                  <c:v>-29</c:v>
                </c:pt>
                <c:pt idx="12">
                  <c:v>-18</c:v>
                </c:pt>
                <c:pt idx="13">
                  <c:v>31</c:v>
                </c:pt>
                <c:pt idx="14">
                  <c:v>-16</c:v>
                </c:pt>
                <c:pt idx="15">
                  <c:v>14</c:v>
                </c:pt>
                <c:pt idx="16">
                  <c:v>18</c:v>
                </c:pt>
                <c:pt idx="17">
                  <c:v>17</c:v>
                </c:pt>
                <c:pt idx="18">
                  <c:v>-11</c:v>
                </c:pt>
                <c:pt idx="19">
                  <c:v>-22</c:v>
                </c:pt>
              </c:numCache>
            </c:numRef>
          </c:yVal>
          <c:smooth val="0"/>
          <c:extLst>
            <c:ext xmlns:c16="http://schemas.microsoft.com/office/drawing/2014/chart" uri="{C3380CC4-5D6E-409C-BE32-E72D297353CC}">
              <c16:uniqueId val="{00000000-1D06-0D4F-9051-A2B42C7D2785}"/>
            </c:ext>
          </c:extLst>
        </c:ser>
        <c:dLbls>
          <c:showLegendKey val="0"/>
          <c:showVal val="0"/>
          <c:showCatName val="0"/>
          <c:showSerName val="0"/>
          <c:showPercent val="0"/>
          <c:showBubbleSize val="0"/>
        </c:dLbls>
        <c:axId val="1239293200"/>
        <c:axId val="1631932352"/>
      </c:scatterChart>
      <c:valAx>
        <c:axId val="12392932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1932352"/>
        <c:crosses val="autoZero"/>
        <c:crossBetween val="midCat"/>
      </c:valAx>
      <c:valAx>
        <c:axId val="16319323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929320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oneCellAnchor>
    <xdr:from>
      <xdr:col>6</xdr:col>
      <xdr:colOff>257175</xdr:colOff>
      <xdr:row>2</xdr:row>
      <xdr:rowOff>76200</xdr:rowOff>
    </xdr:from>
    <xdr:ext cx="5105400" cy="790575"/>
    <xdr:sp macro="" textlink="">
      <xdr:nvSpPr>
        <xdr:cNvPr id="2" name="Shape 3">
          <a:extLst>
            <a:ext uri="{FF2B5EF4-FFF2-40B4-BE49-F238E27FC236}">
              <a16:creationId xmlns:a16="http://schemas.microsoft.com/office/drawing/2014/main" id="{4F4517BC-5858-43B5-B8D2-18117D684EEE}"/>
            </a:ext>
          </a:extLst>
        </xdr:cNvPr>
        <xdr:cNvSpPr txBox="1"/>
      </xdr:nvSpPr>
      <xdr:spPr>
        <a:xfrm>
          <a:off x="6029325" y="457200"/>
          <a:ext cx="5105400" cy="790575"/>
        </a:xfrm>
        <a:prstGeom prst="rect">
          <a:avLst/>
        </a:prstGeom>
        <a:solidFill>
          <a:srgbClr val="DDEAF6"/>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spcBef>
              <a:spcPts val="0"/>
            </a:spcBef>
            <a:spcAft>
              <a:spcPts val="0"/>
            </a:spcAft>
            <a:buNone/>
          </a:pPr>
          <a:r>
            <a:rPr lang="en-US" sz="1200">
              <a:solidFill>
                <a:schemeClr val="dk1"/>
              </a:solidFill>
              <a:latin typeface="+mn-lt"/>
              <a:ea typeface="Calibri"/>
              <a:cs typeface="Calibri"/>
              <a:sym typeface="Calibri"/>
            </a:rPr>
            <a:t>1. A Wall Street Journal</a:t>
          </a:r>
          <a:r>
            <a:rPr lang="en-US" sz="1200" baseline="0">
              <a:solidFill>
                <a:schemeClr val="dk1"/>
              </a:solidFill>
              <a:latin typeface="+mn-lt"/>
              <a:ea typeface="Calibri"/>
              <a:cs typeface="Calibri"/>
              <a:sym typeface="Calibri"/>
            </a:rPr>
            <a:t> subscriber survey asked 46 questions about subscriber characteristics and interests. State whether each of the questions to the left provides categorical or quantitative data.</a:t>
          </a:r>
          <a:endParaRPr lang="en-US" sz="1200">
            <a:effectLst/>
            <a:latin typeface="+mn-lt"/>
          </a:endParaRPr>
        </a:p>
      </xdr:txBody>
    </xdr:sp>
    <xdr:clientData fLocksWithSheet="0"/>
  </xdr:oneCellAnchor>
</xdr:wsDr>
</file>

<file path=xl/drawings/drawing2.xml><?xml version="1.0" encoding="utf-8"?>
<xdr:wsDr xmlns:xdr="http://schemas.openxmlformats.org/drawingml/2006/spreadsheetDrawing" xmlns:a="http://schemas.openxmlformats.org/drawingml/2006/main">
  <xdr:oneCellAnchor>
    <xdr:from>
      <xdr:col>9</xdr:col>
      <xdr:colOff>393700</xdr:colOff>
      <xdr:row>18</xdr:row>
      <xdr:rowOff>136524</xdr:rowOff>
    </xdr:from>
    <xdr:ext cx="5105400" cy="2943225"/>
    <xdr:sp macro="" textlink="">
      <xdr:nvSpPr>
        <xdr:cNvPr id="2" name="Shape 3">
          <a:extLst>
            <a:ext uri="{FF2B5EF4-FFF2-40B4-BE49-F238E27FC236}">
              <a16:creationId xmlns:a16="http://schemas.microsoft.com/office/drawing/2014/main" id="{63E7B589-2F68-4EED-81D4-E6C957F2BFBC}"/>
            </a:ext>
          </a:extLst>
        </xdr:cNvPr>
        <xdr:cNvSpPr txBox="1"/>
      </xdr:nvSpPr>
      <xdr:spPr>
        <a:xfrm>
          <a:off x="8216900" y="3629024"/>
          <a:ext cx="5105400" cy="2943225"/>
        </a:xfrm>
        <a:prstGeom prst="rect">
          <a:avLst/>
        </a:prstGeom>
        <a:solidFill>
          <a:srgbClr val="DDEAF6"/>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spcBef>
              <a:spcPts val="0"/>
            </a:spcBef>
            <a:spcAft>
              <a:spcPts val="0"/>
            </a:spcAft>
            <a:buNone/>
          </a:pPr>
          <a:r>
            <a:rPr lang="en-US" sz="1200">
              <a:effectLst/>
              <a:latin typeface="+mn-lt"/>
            </a:rPr>
            <a:t>2.</a:t>
          </a:r>
          <a:r>
            <a:rPr lang="en-US" sz="1200" baseline="0">
              <a:effectLst/>
              <a:latin typeface="+mn-lt"/>
            </a:rPr>
            <a:t> Consider the Following Data.</a:t>
          </a:r>
        </a:p>
        <a:p>
          <a:pPr marL="0" lvl="0" indent="0">
            <a:spcBef>
              <a:spcPts val="0"/>
            </a:spcBef>
            <a:spcAft>
              <a:spcPts val="0"/>
            </a:spcAft>
            <a:buNone/>
          </a:pPr>
          <a:endParaRPr lang="en-US" sz="1200" baseline="0">
            <a:effectLst/>
            <a:latin typeface="+mn-lt"/>
          </a:endParaRPr>
        </a:p>
        <a:p>
          <a:pPr marL="0" marR="0" lvl="0" indent="0" defTabSz="914400" eaLnBrk="1" fontAlgn="auto" latinLnBrk="0" hangingPunct="1">
            <a:lnSpc>
              <a:spcPct val="100000"/>
            </a:lnSpc>
            <a:spcBef>
              <a:spcPts val="0"/>
            </a:spcBef>
            <a:spcAft>
              <a:spcPts val="0"/>
            </a:spcAft>
            <a:buClrTx/>
            <a:buSzTx/>
            <a:buFontTx/>
            <a:buNone/>
            <a:tabLst/>
            <a:defRPr/>
          </a:pPr>
          <a:r>
            <a:rPr lang="en-US" sz="1200" baseline="0">
              <a:effectLst/>
              <a:latin typeface="+mn-lt"/>
            </a:rPr>
            <a:t>A. </a:t>
          </a:r>
          <a:r>
            <a:rPr lang="en-US" sz="1100">
              <a:effectLst/>
              <a:latin typeface="+mn-lt"/>
              <a:ea typeface="+mn-ea"/>
              <a:cs typeface="+mn-cs"/>
            </a:rPr>
            <a:t>Are these data</a:t>
          </a:r>
          <a:r>
            <a:rPr lang="en-US" sz="1100" baseline="0">
              <a:effectLst/>
              <a:latin typeface="+mn-lt"/>
              <a:ea typeface="+mn-ea"/>
              <a:cs typeface="+mn-cs"/>
            </a:rPr>
            <a:t> categorical or quantitative?</a:t>
          </a:r>
          <a:endParaRPr lang="en-US" sz="1200">
            <a:effectLst/>
          </a:endParaRPr>
        </a:p>
        <a:p>
          <a:pPr marL="0" lvl="0" indent="0">
            <a:spcBef>
              <a:spcPts val="0"/>
            </a:spcBef>
            <a:spcAft>
              <a:spcPts val="0"/>
            </a:spcAft>
            <a:buNone/>
          </a:pPr>
          <a:r>
            <a:rPr lang="en-US" sz="1200" baseline="0">
              <a:effectLst/>
              <a:latin typeface="+mn-lt"/>
            </a:rPr>
            <a:t>quanitative</a:t>
          </a:r>
        </a:p>
        <a:p>
          <a:pPr marL="0" lvl="0" indent="0">
            <a:spcBef>
              <a:spcPts val="0"/>
            </a:spcBef>
            <a:spcAft>
              <a:spcPts val="0"/>
            </a:spcAft>
            <a:buNone/>
          </a:pPr>
          <a:r>
            <a:rPr lang="en-US" sz="1200" baseline="0">
              <a:effectLst/>
              <a:latin typeface="+mn-lt"/>
            </a:rPr>
            <a:t>B. Develop a frequency distribution using classes of 12-14, 15-17, 18-20, 21-23, and 24-26.</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r>
            <a:rPr lang="en-US" sz="1200" baseline="0">
              <a:effectLst/>
              <a:latin typeface="+mn-lt"/>
            </a:rPr>
            <a:t>C. Develop a relative frequency distribution and a percent frequency distribution using the classes in part A. </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r>
            <a:rPr lang="en-US" sz="1200" baseline="0">
              <a:effectLst/>
              <a:latin typeface="+mn-lt"/>
            </a:rPr>
            <a:t>D. Create a histogram graph using the bins from part A. </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r>
            <a:rPr lang="en-US" sz="1200" baseline="0">
              <a:effectLst/>
              <a:latin typeface="+mn-lt"/>
            </a:rPr>
            <a:t>E. Compute the 20th, 25th, 65th, and 75th percentiles. </a:t>
          </a:r>
          <a:endParaRPr lang="en-US" sz="1200">
            <a:effectLst/>
            <a:latin typeface="+mn-lt"/>
          </a:endParaRPr>
        </a:p>
      </xdr:txBody>
    </xdr:sp>
    <xdr:clientData fLocksWithSheet="0"/>
  </xdr:oneCellAnchor>
  <xdr:twoCellAnchor>
    <xdr:from>
      <xdr:col>3</xdr:col>
      <xdr:colOff>457200</xdr:colOff>
      <xdr:row>11</xdr:row>
      <xdr:rowOff>139700</xdr:rowOff>
    </xdr:from>
    <xdr:to>
      <xdr:col>7</xdr:col>
      <xdr:colOff>1219200</xdr:colOff>
      <xdr:row>21</xdr:row>
      <xdr:rowOff>152400</xdr:rowOff>
    </xdr:to>
    <xdr:graphicFrame macro="">
      <xdr:nvGraphicFramePr>
        <xdr:cNvPr id="8" name="Chart 7">
          <a:extLst>
            <a:ext uri="{FF2B5EF4-FFF2-40B4-BE49-F238E27FC236}">
              <a16:creationId xmlns:a16="http://schemas.microsoft.com/office/drawing/2014/main" id="{BEA814ED-9285-EDF6-1EA2-17F47B04E1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7</xdr:col>
      <xdr:colOff>371475</xdr:colOff>
      <xdr:row>1</xdr:row>
      <xdr:rowOff>85725</xdr:rowOff>
    </xdr:from>
    <xdr:ext cx="5105400" cy="1266825"/>
    <xdr:sp macro="" textlink="">
      <xdr:nvSpPr>
        <xdr:cNvPr id="2" name="Shape 3">
          <a:extLst>
            <a:ext uri="{FF2B5EF4-FFF2-40B4-BE49-F238E27FC236}">
              <a16:creationId xmlns:a16="http://schemas.microsoft.com/office/drawing/2014/main" id="{680E4DAA-97F9-4853-BD64-20069591B2F8}"/>
            </a:ext>
          </a:extLst>
        </xdr:cNvPr>
        <xdr:cNvSpPr txBox="1"/>
      </xdr:nvSpPr>
      <xdr:spPr>
        <a:xfrm>
          <a:off x="4638675" y="285750"/>
          <a:ext cx="5105400" cy="1266825"/>
        </a:xfrm>
        <a:prstGeom prst="rect">
          <a:avLst/>
        </a:prstGeom>
        <a:solidFill>
          <a:srgbClr val="DDEAF6"/>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spcBef>
              <a:spcPts val="0"/>
            </a:spcBef>
            <a:spcAft>
              <a:spcPts val="0"/>
            </a:spcAft>
            <a:buNone/>
          </a:pPr>
          <a:r>
            <a:rPr lang="en-US" sz="1200">
              <a:effectLst/>
              <a:latin typeface="+mn-lt"/>
            </a:rPr>
            <a:t>3. Suppose that you</a:t>
          </a:r>
          <a:r>
            <a:rPr lang="en-US" sz="1200" baseline="0">
              <a:effectLst/>
              <a:latin typeface="+mn-lt"/>
            </a:rPr>
            <a:t> initially invested $10,000 in the Stivers mutual fund and $5,000 in the Trippi mutual fund. The value of each investment atthe end of each subsequent year is provided in the table. </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r>
            <a:rPr lang="en-US" sz="1200" baseline="0">
              <a:effectLst/>
              <a:latin typeface="+mn-lt"/>
            </a:rPr>
            <a:t>A. Which of the two mutual funds performed better over this period? Why?</a:t>
          </a:r>
        </a:p>
        <a:p>
          <a:pPr marL="0" lvl="0" indent="0">
            <a:spcBef>
              <a:spcPts val="0"/>
            </a:spcBef>
            <a:spcAft>
              <a:spcPts val="0"/>
            </a:spcAft>
            <a:buNone/>
          </a:pPr>
          <a:r>
            <a:rPr lang="en-US" sz="1200" b="1" baseline="0">
              <a:effectLst/>
              <a:latin typeface="+mn-lt"/>
            </a:rPr>
            <a:t>Trippi fund due to its higher return comparitivley by 26%.</a:t>
          </a:r>
          <a:endParaRPr lang="en-US" sz="1200" b="1">
            <a:effectLst/>
            <a:latin typeface="+mn-lt"/>
          </a:endParaRPr>
        </a:p>
      </xdr:txBody>
    </xdr:sp>
    <xdr:clientData fLocksWithSheet="0"/>
  </xdr:oneCellAnchor>
</xdr:wsDr>
</file>

<file path=xl/drawings/drawing4.xml><?xml version="1.0" encoding="utf-8"?>
<xdr:wsDr xmlns:xdr="http://schemas.openxmlformats.org/drawingml/2006/spreadsheetDrawing" xmlns:a="http://schemas.openxmlformats.org/drawingml/2006/main">
  <xdr:oneCellAnchor>
    <xdr:from>
      <xdr:col>1</xdr:col>
      <xdr:colOff>12700</xdr:colOff>
      <xdr:row>13</xdr:row>
      <xdr:rowOff>12699</xdr:rowOff>
    </xdr:from>
    <xdr:ext cx="5105400" cy="4181475"/>
    <xdr:sp macro="" textlink="">
      <xdr:nvSpPr>
        <xdr:cNvPr id="2" name="Shape 3">
          <a:extLst>
            <a:ext uri="{FF2B5EF4-FFF2-40B4-BE49-F238E27FC236}">
              <a16:creationId xmlns:a16="http://schemas.microsoft.com/office/drawing/2014/main" id="{C42BA38D-4424-4BED-A9CF-140633837152}"/>
            </a:ext>
          </a:extLst>
        </xdr:cNvPr>
        <xdr:cNvSpPr txBox="1"/>
      </xdr:nvSpPr>
      <xdr:spPr>
        <a:xfrm>
          <a:off x="1498600" y="2616199"/>
          <a:ext cx="5105400" cy="4181475"/>
        </a:xfrm>
        <a:prstGeom prst="rect">
          <a:avLst/>
        </a:prstGeom>
        <a:solidFill>
          <a:srgbClr val="DDEAF6"/>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spcBef>
              <a:spcPts val="0"/>
            </a:spcBef>
            <a:spcAft>
              <a:spcPts val="0"/>
            </a:spcAft>
            <a:buNone/>
          </a:pPr>
          <a:r>
            <a:rPr lang="en-US" sz="1200">
              <a:effectLst/>
              <a:latin typeface="+mn-lt"/>
            </a:rPr>
            <a:t>4. A sales</a:t>
          </a:r>
          <a:r>
            <a:rPr lang="en-US" sz="1200" baseline="0">
              <a:effectLst/>
              <a:latin typeface="+mn-lt"/>
            </a:rPr>
            <a:t> manager is trying to determine appropriate sales performance bonuses for her team this year. The following table contains the data relevant to determining the bonuses, but it is not easy to read and interpret. Reformat the table to improve readability and to help the sales manager maker her decisions about bonuses. List each step you make to refort the table.</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r>
            <a:rPr lang="en-US" sz="1200" baseline="0">
              <a:effectLst/>
              <a:latin typeface="+mn-lt"/>
            </a:rPr>
            <a:t>1.  First I would select the data</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r>
            <a:rPr lang="en-US" sz="1200" baseline="0">
              <a:effectLst/>
              <a:latin typeface="+mn-lt"/>
            </a:rPr>
            <a:t>2. I would then click on sort and filter</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r>
            <a:rPr lang="en-US" sz="1200" baseline="0">
              <a:effectLst/>
              <a:latin typeface="+mn-lt"/>
            </a:rPr>
            <a:t>3. I would then press custom sort</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r>
            <a:rPr lang="en-US" sz="1200" baseline="0">
              <a:effectLst/>
              <a:latin typeface="+mn-lt"/>
            </a:rPr>
            <a:t>4. I would then press on total sales</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r>
            <a:rPr lang="en-US" sz="1200" baseline="0">
              <a:effectLst/>
              <a:latin typeface="+mn-lt"/>
            </a:rPr>
            <a:t>5. I would then enter largest to smallest</a:t>
          </a:r>
        </a:p>
        <a:p>
          <a:pPr marL="0" lvl="0" indent="0">
            <a:spcBef>
              <a:spcPts val="0"/>
            </a:spcBef>
            <a:spcAft>
              <a:spcPts val="0"/>
            </a:spcAft>
            <a:buNone/>
          </a:pPr>
          <a:r>
            <a:rPr lang="en-US" sz="1200" baseline="0">
              <a:effectLst/>
              <a:latin typeface="+mn-lt"/>
            </a:rPr>
            <a:t>6. I would then look at that and base it off of the largest</a:t>
          </a:r>
        </a:p>
        <a:p>
          <a:pPr marL="0" lvl="0" indent="0">
            <a:spcBef>
              <a:spcPts val="0"/>
            </a:spcBef>
            <a:spcAft>
              <a:spcPts val="0"/>
            </a:spcAft>
            <a:buNone/>
          </a:pPr>
          <a:r>
            <a:rPr lang="en-US" sz="1200" baseline="0">
              <a:effectLst/>
              <a:latin typeface="+mn-lt"/>
            </a:rPr>
            <a:t>.</a:t>
          </a:r>
        </a:p>
        <a:p>
          <a:pPr marL="0" lvl="0" indent="0">
            <a:spcBef>
              <a:spcPts val="0"/>
            </a:spcBef>
            <a:spcAft>
              <a:spcPts val="0"/>
            </a:spcAft>
            <a:buNone/>
          </a:pPr>
          <a:r>
            <a:rPr lang="en-US" sz="1200" baseline="0">
              <a:effectLst/>
              <a:latin typeface="+mn-lt"/>
            </a:rPr>
            <a:t>.</a:t>
          </a:r>
        </a:p>
        <a:p>
          <a:pPr marL="0" lvl="0" indent="0">
            <a:spcBef>
              <a:spcPts val="0"/>
            </a:spcBef>
            <a:spcAft>
              <a:spcPts val="0"/>
            </a:spcAft>
            <a:buNone/>
          </a:pPr>
          <a:r>
            <a:rPr lang="en-US" sz="1200" baseline="0">
              <a:effectLst/>
              <a:latin typeface="+mn-lt"/>
            </a:rPr>
            <a:t>.</a:t>
          </a:r>
        </a:p>
        <a:p>
          <a:pPr marL="0" lvl="0" indent="0">
            <a:spcBef>
              <a:spcPts val="0"/>
            </a:spcBef>
            <a:spcAft>
              <a:spcPts val="0"/>
            </a:spcAft>
            <a:buNone/>
          </a:pPr>
          <a:r>
            <a:rPr lang="en-US" sz="1200" baseline="0">
              <a:effectLst/>
              <a:latin typeface="+mn-lt"/>
            </a:rPr>
            <a:t>.</a:t>
          </a:r>
        </a:p>
        <a:p>
          <a:pPr marL="0" lvl="0" indent="0">
            <a:spcBef>
              <a:spcPts val="0"/>
            </a:spcBef>
            <a:spcAft>
              <a:spcPts val="0"/>
            </a:spcAft>
            <a:buNone/>
          </a:pPr>
          <a:r>
            <a:rPr lang="en-US" sz="1200" baseline="0">
              <a:effectLst/>
              <a:latin typeface="+mn-lt"/>
            </a:rPr>
            <a:t>(Add more if you need them)</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a:effectLst/>
            <a:latin typeface="+mn-lt"/>
          </a:endParaRPr>
        </a:p>
      </xdr:txBody>
    </xdr:sp>
    <xdr:clientData fLocksWithSheet="0"/>
  </xdr:oneCellAnchor>
</xdr:wsDr>
</file>

<file path=xl/drawings/drawing5.xml><?xml version="1.0" encoding="utf-8"?>
<xdr:wsDr xmlns:xdr="http://schemas.openxmlformats.org/drawingml/2006/spreadsheetDrawing" xmlns:a="http://schemas.openxmlformats.org/drawingml/2006/main">
  <xdr:oneCellAnchor>
    <xdr:from>
      <xdr:col>7</xdr:col>
      <xdr:colOff>371475</xdr:colOff>
      <xdr:row>1</xdr:row>
      <xdr:rowOff>161925</xdr:rowOff>
    </xdr:from>
    <xdr:ext cx="5105400" cy="3038475"/>
    <xdr:sp macro="" textlink="">
      <xdr:nvSpPr>
        <xdr:cNvPr id="2" name="Shape 3">
          <a:extLst>
            <a:ext uri="{FF2B5EF4-FFF2-40B4-BE49-F238E27FC236}">
              <a16:creationId xmlns:a16="http://schemas.microsoft.com/office/drawing/2014/main" id="{42325283-419D-4F1D-BB71-F6EF144AB3E6}"/>
            </a:ext>
          </a:extLst>
        </xdr:cNvPr>
        <xdr:cNvSpPr txBox="1"/>
      </xdr:nvSpPr>
      <xdr:spPr>
        <a:xfrm>
          <a:off x="7296150" y="361950"/>
          <a:ext cx="5105400" cy="3038475"/>
        </a:xfrm>
        <a:prstGeom prst="rect">
          <a:avLst/>
        </a:prstGeom>
        <a:solidFill>
          <a:srgbClr val="DDEAF6"/>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spcBef>
              <a:spcPts val="0"/>
            </a:spcBef>
            <a:spcAft>
              <a:spcPts val="0"/>
            </a:spcAft>
            <a:buNone/>
          </a:pPr>
          <a:r>
            <a:rPr lang="en-US" sz="1200" baseline="0">
              <a:effectLst/>
              <a:latin typeface="+mn-lt"/>
            </a:rPr>
            <a:t>5. Entrepreneur magazine ranks franchises. Among the factors that the magazine uses in its rankings are growth rate, number of locations, start-up costs, and financial stability. A recent ranking listed the top 20 U.S. franchises and the number of locations as in the table.</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r>
            <a:rPr lang="en-US" sz="1200" baseline="0">
              <a:effectLst/>
              <a:latin typeface="+mn-lt"/>
            </a:rPr>
            <a:t>A. Create a PivotTable to summarize these data using classes 0-9,999, 10,000-19,999, 20,000-29,999, and 30,000-39,999 to answer the next questions. (Hint: Use Number of U.S. Locations as the COLUMNS, and use Count of Number of U.S. Locations as the VALUES in the PivotTable.</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r>
            <a:rPr lang="en-US" sz="1200" baseline="0">
              <a:effectLst/>
              <a:latin typeface="+mn-lt"/>
            </a:rPr>
            <a:t>B. How many franchises have between 0 and 9,999 locations?</a:t>
          </a:r>
        </a:p>
        <a:p>
          <a:pPr marL="0" lvl="0" indent="0">
            <a:spcBef>
              <a:spcPts val="0"/>
            </a:spcBef>
            <a:spcAft>
              <a:spcPts val="0"/>
            </a:spcAft>
            <a:buNone/>
          </a:pPr>
          <a:r>
            <a:rPr lang="en-US" sz="1200" baseline="0">
              <a:effectLst/>
              <a:latin typeface="+mn-lt"/>
            </a:rPr>
            <a:t>13</a:t>
          </a:r>
        </a:p>
        <a:p>
          <a:pPr marL="0" lvl="0" indent="0">
            <a:spcBef>
              <a:spcPts val="0"/>
            </a:spcBef>
            <a:spcAft>
              <a:spcPts val="0"/>
            </a:spcAft>
            <a:buNone/>
          </a:pPr>
          <a:r>
            <a:rPr lang="en-US" sz="1200" baseline="0">
              <a:effectLst/>
              <a:latin typeface="+mn-lt"/>
            </a:rPr>
            <a:t>C. How many franchises have more than 30,000 locations?</a:t>
          </a:r>
        </a:p>
        <a:p>
          <a:pPr marL="0" lvl="0" indent="0">
            <a:spcBef>
              <a:spcPts val="0"/>
            </a:spcBef>
            <a:spcAft>
              <a:spcPts val="0"/>
            </a:spcAft>
            <a:buNone/>
          </a:pPr>
          <a:r>
            <a:rPr lang="en-US" sz="1200" baseline="0">
              <a:effectLst/>
              <a:latin typeface="+mn-lt"/>
            </a:rPr>
            <a:t>3</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a:effectLst/>
            <a:latin typeface="+mn-lt"/>
          </a:endParaRPr>
        </a:p>
      </xdr:txBody>
    </xdr:sp>
    <xdr:clientData fLocksWithSheet="0"/>
  </xdr:oneCellAnchor>
</xdr:wsDr>
</file>

<file path=xl/drawings/drawing6.xml><?xml version="1.0" encoding="utf-8"?>
<xdr:wsDr xmlns:xdr="http://schemas.openxmlformats.org/drawingml/2006/spreadsheetDrawing" xmlns:a="http://schemas.openxmlformats.org/drawingml/2006/main">
  <xdr:oneCellAnchor>
    <xdr:from>
      <xdr:col>9</xdr:col>
      <xdr:colOff>552450</xdr:colOff>
      <xdr:row>1</xdr:row>
      <xdr:rowOff>95251</xdr:rowOff>
    </xdr:from>
    <xdr:ext cx="5105400" cy="2381250"/>
    <xdr:sp macro="" textlink="">
      <xdr:nvSpPr>
        <xdr:cNvPr id="2" name="Shape 3">
          <a:extLst>
            <a:ext uri="{FF2B5EF4-FFF2-40B4-BE49-F238E27FC236}">
              <a16:creationId xmlns:a16="http://schemas.microsoft.com/office/drawing/2014/main" id="{5BA7E825-7F9D-44F6-8581-6E8FC51E6523}"/>
            </a:ext>
          </a:extLst>
        </xdr:cNvPr>
        <xdr:cNvSpPr txBox="1"/>
      </xdr:nvSpPr>
      <xdr:spPr>
        <a:xfrm>
          <a:off x="6305550" y="295276"/>
          <a:ext cx="5105400" cy="2381250"/>
        </a:xfrm>
        <a:prstGeom prst="rect">
          <a:avLst/>
        </a:prstGeom>
        <a:solidFill>
          <a:srgbClr val="DDEAF6"/>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spcBef>
              <a:spcPts val="0"/>
            </a:spcBef>
            <a:spcAft>
              <a:spcPts val="0"/>
            </a:spcAft>
            <a:buNone/>
          </a:pPr>
          <a:r>
            <a:rPr lang="en-US" sz="1200" baseline="0">
              <a:effectLst/>
              <a:latin typeface="+mn-lt"/>
            </a:rPr>
            <a:t>6. The following table includes 20 observations for two quantitative variables x, and y. </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r>
            <a:rPr lang="en-US" sz="1200" baseline="0">
              <a:effectLst/>
              <a:latin typeface="+mn-lt"/>
            </a:rPr>
            <a:t>A. Create a scatter chart for these 20 observations.</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r>
            <a:rPr lang="en-US" sz="1200" baseline="0">
              <a:effectLst/>
              <a:latin typeface="+mn-lt"/>
            </a:rPr>
            <a:t>B. Fit a linear trendline to the 20 observation. What can you say about the relationship between the two quantitative variables?</a:t>
          </a:r>
        </a:p>
        <a:p>
          <a:pPr marL="0" lvl="0" indent="0">
            <a:spcBef>
              <a:spcPts val="0"/>
            </a:spcBef>
            <a:spcAft>
              <a:spcPts val="0"/>
            </a:spcAft>
            <a:buNone/>
          </a:pPr>
          <a:r>
            <a:rPr lang="en-US" sz="1200" b="1" baseline="0">
              <a:effectLst/>
              <a:latin typeface="+mn-lt"/>
            </a:rPr>
            <a:t>The correlation is negative.</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a:effectLst/>
            <a:latin typeface="+mn-lt"/>
          </a:endParaRPr>
        </a:p>
      </xdr:txBody>
    </xdr:sp>
    <xdr:clientData fLocksWithSheet="0"/>
  </xdr:oneCellAnchor>
  <xdr:twoCellAnchor>
    <xdr:from>
      <xdr:col>3</xdr:col>
      <xdr:colOff>425450</xdr:colOff>
      <xdr:row>14</xdr:row>
      <xdr:rowOff>76200</xdr:rowOff>
    </xdr:from>
    <xdr:to>
      <xdr:col>10</xdr:col>
      <xdr:colOff>285750</xdr:colOff>
      <xdr:row>28</xdr:row>
      <xdr:rowOff>63500</xdr:rowOff>
    </xdr:to>
    <xdr:graphicFrame macro="">
      <xdr:nvGraphicFramePr>
        <xdr:cNvPr id="3" name="Chart 2">
          <a:extLst>
            <a:ext uri="{FF2B5EF4-FFF2-40B4-BE49-F238E27FC236}">
              <a16:creationId xmlns:a16="http://schemas.microsoft.com/office/drawing/2014/main" id="{EE55D7C5-166E-BF5F-37FA-E49AB9AD1B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roy Spellman" refreshedDate="45564.881342592591" createdVersion="8" refreshedVersion="8" minRefreshableVersion="3" recordCount="20" xr:uid="{7368CC44-95CE-CB40-A34E-5935EDE3A069}">
  <cacheSource type="worksheet">
    <worksheetSource ref="A1:C21" sheet="Question 5"/>
  </cacheSource>
  <cacheFields count="3">
    <cacheField name="Franchise" numFmtId="0">
      <sharedItems count="20">
        <s v="Hampton Inns"/>
        <s v="ampm"/>
        <s v="McDonald's"/>
        <s v="7-Eleven, Inc."/>
        <s v="Supercuts"/>
        <s v="Days Inn"/>
        <s v="Vanguard Cleaning Systems"/>
        <s v="Servpro"/>
        <s v="Subway"/>
        <s v="Denny's Inc."/>
        <s v="Jan-Pro Franchising Intl Inc."/>
        <s v="Hardee's"/>
        <s v="Pizza Hut Inc."/>
        <s v="Kumon Math &amp; Reading Centers"/>
        <s v="Dunkin' Donuts"/>
        <s v="KFC Corp."/>
        <s v="Jazzercise Inc."/>
        <s v="Anytime Fitness"/>
        <s v="Matco Tools"/>
        <s v="Stratus Building Solutions"/>
      </sharedItems>
    </cacheField>
    <cacheField name="# U.S. Locations" numFmtId="165">
      <sharedItems containsSemiMixedTypes="0" containsString="0" containsNumber="1" containsInteger="1" minValue="1431" maxValue="37496" count="20">
        <n v="1864"/>
        <n v="3183"/>
        <n v="32805"/>
        <n v="37496"/>
        <n v="2130"/>
        <n v="1877"/>
        <n v="2155"/>
        <n v="1572"/>
        <n v="34871"/>
        <n v="1668"/>
        <n v="12394"/>
        <n v="1901"/>
        <n v="13281"/>
        <n v="25199"/>
        <n v="9947"/>
        <n v="16224"/>
        <n v="7683"/>
        <n v="1618"/>
        <n v="1431"/>
        <n v="5018"/>
      </sharedItems>
    </cacheField>
    <cacheField name="Location Counts" numFmtId="0">
      <sharedItems count="4">
        <s v="0-9,999"/>
        <s v="30,000-39,999"/>
        <s v="10,000-19,999"/>
        <s v="20,000-29,999"/>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r>
  <r>
    <x v="1"/>
    <x v="1"/>
    <x v="0"/>
  </r>
  <r>
    <x v="2"/>
    <x v="2"/>
    <x v="1"/>
  </r>
  <r>
    <x v="3"/>
    <x v="3"/>
    <x v="1"/>
  </r>
  <r>
    <x v="4"/>
    <x v="4"/>
    <x v="0"/>
  </r>
  <r>
    <x v="5"/>
    <x v="5"/>
    <x v="0"/>
  </r>
  <r>
    <x v="6"/>
    <x v="6"/>
    <x v="0"/>
  </r>
  <r>
    <x v="7"/>
    <x v="7"/>
    <x v="0"/>
  </r>
  <r>
    <x v="8"/>
    <x v="8"/>
    <x v="1"/>
  </r>
  <r>
    <x v="9"/>
    <x v="9"/>
    <x v="0"/>
  </r>
  <r>
    <x v="10"/>
    <x v="10"/>
    <x v="2"/>
  </r>
  <r>
    <x v="11"/>
    <x v="11"/>
    <x v="0"/>
  </r>
  <r>
    <x v="12"/>
    <x v="12"/>
    <x v="2"/>
  </r>
  <r>
    <x v="13"/>
    <x v="13"/>
    <x v="3"/>
  </r>
  <r>
    <x v="14"/>
    <x v="14"/>
    <x v="0"/>
  </r>
  <r>
    <x v="15"/>
    <x v="15"/>
    <x v="2"/>
  </r>
  <r>
    <x v="16"/>
    <x v="16"/>
    <x v="0"/>
  </r>
  <r>
    <x v="17"/>
    <x v="17"/>
    <x v="0"/>
  </r>
  <r>
    <x v="18"/>
    <x v="18"/>
    <x v="0"/>
  </r>
  <r>
    <x v="19"/>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99911C8-38A9-C444-8FDF-BA78B47CDB65}" name="PivotTable4"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3:F45" firstHeaderRow="1" firstDataRow="2" firstDataCol="1"/>
  <pivotFields count="3">
    <pivotField axis="axisRow" showAll="0">
      <items count="21">
        <item x="3"/>
        <item x="1"/>
        <item x="17"/>
        <item x="5"/>
        <item x="9"/>
        <item x="14"/>
        <item x="0"/>
        <item x="11"/>
        <item x="10"/>
        <item x="16"/>
        <item x="15"/>
        <item x="13"/>
        <item x="18"/>
        <item x="2"/>
        <item x="12"/>
        <item x="7"/>
        <item x="19"/>
        <item x="8"/>
        <item x="4"/>
        <item x="6"/>
        <item t="default"/>
      </items>
    </pivotField>
    <pivotField dataField="1" numFmtId="165" showAll="0"/>
    <pivotField axis="axisCol" showAll="0">
      <items count="5">
        <item x="0"/>
        <item x="2"/>
        <item x="3"/>
        <item x="1"/>
        <item t="default"/>
      </items>
    </pivotField>
  </pivotFields>
  <rowFields count="1">
    <field x="0"/>
  </rowFields>
  <rowItems count="21">
    <i>
      <x/>
    </i>
    <i>
      <x v="1"/>
    </i>
    <i>
      <x v="2"/>
    </i>
    <i>
      <x v="3"/>
    </i>
    <i>
      <x v="4"/>
    </i>
    <i>
      <x v="5"/>
    </i>
    <i>
      <x v="6"/>
    </i>
    <i>
      <x v="7"/>
    </i>
    <i>
      <x v="8"/>
    </i>
    <i>
      <x v="9"/>
    </i>
    <i>
      <x v="10"/>
    </i>
    <i>
      <x v="11"/>
    </i>
    <i>
      <x v="12"/>
    </i>
    <i>
      <x v="13"/>
    </i>
    <i>
      <x v="14"/>
    </i>
    <i>
      <x v="15"/>
    </i>
    <i>
      <x v="16"/>
    </i>
    <i>
      <x v="17"/>
    </i>
    <i>
      <x v="18"/>
    </i>
    <i>
      <x v="19"/>
    </i>
    <i t="grand">
      <x/>
    </i>
  </rowItems>
  <colFields count="1">
    <field x="2"/>
  </colFields>
  <colItems count="5">
    <i>
      <x/>
    </i>
    <i>
      <x v="1"/>
    </i>
    <i>
      <x v="2"/>
    </i>
    <i>
      <x v="3"/>
    </i>
    <i t="grand">
      <x/>
    </i>
  </colItems>
  <dataFields count="1">
    <dataField name="Count of # U.S. Locations"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86A44D-B331-4F4D-8345-6180675E97C8}">
  <dimension ref="A1:B6"/>
  <sheetViews>
    <sheetView workbookViewId="0">
      <selection activeCell="B6" sqref="B6"/>
    </sheetView>
  </sheetViews>
  <sheetFormatPr baseColWidth="10" defaultColWidth="8.83203125" defaultRowHeight="15" x14ac:dyDescent="0.2"/>
  <cols>
    <col min="1" max="1" width="33" customWidth="1"/>
    <col min="2" max="2" width="17" customWidth="1"/>
  </cols>
  <sheetData>
    <row r="1" spans="1:2" x14ac:dyDescent="0.2">
      <c r="A1" s="1" t="s">
        <v>0</v>
      </c>
      <c r="B1" s="1" t="s">
        <v>1</v>
      </c>
    </row>
    <row r="2" spans="1:2" ht="16" x14ac:dyDescent="0.2">
      <c r="A2" s="2" t="s">
        <v>2</v>
      </c>
      <c r="B2" s="3" t="s">
        <v>50</v>
      </c>
    </row>
    <row r="3" spans="1:2" ht="16" x14ac:dyDescent="0.2">
      <c r="A3" s="2" t="s">
        <v>3</v>
      </c>
      <c r="B3" s="3" t="s">
        <v>51</v>
      </c>
    </row>
    <row r="4" spans="1:2" ht="48" x14ac:dyDescent="0.2">
      <c r="A4" s="2" t="s">
        <v>4</v>
      </c>
      <c r="B4" s="3" t="s">
        <v>51</v>
      </c>
    </row>
    <row r="5" spans="1:2" ht="32" x14ac:dyDescent="0.2">
      <c r="A5" s="2" t="s">
        <v>5</v>
      </c>
      <c r="B5" s="3" t="s">
        <v>50</v>
      </c>
    </row>
    <row r="6" spans="1:2" ht="64" x14ac:dyDescent="0.2">
      <c r="A6" s="2" t="s">
        <v>6</v>
      </c>
      <c r="B6" s="3" t="s">
        <v>51</v>
      </c>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AF060-689A-49B6-A236-351E09228FB9}">
  <dimension ref="A1:Q42"/>
  <sheetViews>
    <sheetView workbookViewId="0">
      <selection activeCell="E4" sqref="E4"/>
    </sheetView>
  </sheetViews>
  <sheetFormatPr baseColWidth="10" defaultColWidth="8.83203125" defaultRowHeight="15" x14ac:dyDescent="0.2"/>
  <cols>
    <col min="3" max="3" width="15.5" customWidth="1"/>
    <col min="7" max="7" width="16.5" customWidth="1"/>
    <col min="8" max="8" width="17.6640625" customWidth="1"/>
  </cols>
  <sheetData>
    <row r="1" spans="1:11" ht="16" x14ac:dyDescent="0.2">
      <c r="A1" s="4" t="s">
        <v>7</v>
      </c>
    </row>
    <row r="2" spans="1:11" x14ac:dyDescent="0.2">
      <c r="A2" s="24">
        <v>12</v>
      </c>
    </row>
    <row r="3" spans="1:11" ht="19" x14ac:dyDescent="0.25">
      <c r="A3" s="24">
        <v>14</v>
      </c>
      <c r="C3" s="17" t="s">
        <v>52</v>
      </c>
      <c r="D3" s="19" t="s">
        <v>55</v>
      </c>
      <c r="E3" s="26" t="s">
        <v>65</v>
      </c>
      <c r="F3" s="26" t="s">
        <v>66</v>
      </c>
      <c r="G3" s="1" t="s">
        <v>53</v>
      </c>
      <c r="H3" s="1" t="s">
        <v>54</v>
      </c>
      <c r="J3" s="15" t="s">
        <v>56</v>
      </c>
    </row>
    <row r="4" spans="1:11" x14ac:dyDescent="0.2">
      <c r="A4" s="24">
        <v>15</v>
      </c>
      <c r="E4" s="27">
        <v>14</v>
      </c>
      <c r="F4" s="28">
        <v>2</v>
      </c>
      <c r="G4" s="16">
        <v>0.05</v>
      </c>
      <c r="H4" s="18">
        <v>0.05</v>
      </c>
      <c r="J4" t="s">
        <v>57</v>
      </c>
      <c r="K4">
        <f>_xlfn.PERCENTILE.EXC(A3:A42,0.2)</f>
        <v>16</v>
      </c>
    </row>
    <row r="5" spans="1:11" x14ac:dyDescent="0.2">
      <c r="A5" s="24">
        <v>16</v>
      </c>
      <c r="E5" s="27">
        <v>17</v>
      </c>
      <c r="F5" s="28">
        <v>8</v>
      </c>
      <c r="G5" s="16">
        <v>0.2</v>
      </c>
      <c r="H5" s="18">
        <v>0.2</v>
      </c>
      <c r="J5" t="s">
        <v>58</v>
      </c>
      <c r="K5">
        <f>_xlfn.PERCENTILE.EXC(A4:A43,0.25)</f>
        <v>18</v>
      </c>
    </row>
    <row r="6" spans="1:11" x14ac:dyDescent="0.2">
      <c r="A6" s="24">
        <v>16</v>
      </c>
      <c r="E6" s="27">
        <v>20</v>
      </c>
      <c r="F6" s="28">
        <v>11</v>
      </c>
      <c r="G6" s="16">
        <v>0.27500000000000002</v>
      </c>
      <c r="H6" s="18">
        <v>0.27500000000000002</v>
      </c>
      <c r="J6" t="s">
        <v>59</v>
      </c>
      <c r="K6">
        <f>_xlfn.PERCENTILE.EXC(A5:A44,0.65)</f>
        <v>22</v>
      </c>
    </row>
    <row r="7" spans="1:11" x14ac:dyDescent="0.2">
      <c r="A7" s="24">
        <v>16</v>
      </c>
      <c r="E7" s="27">
        <v>23</v>
      </c>
      <c r="F7" s="28">
        <v>10</v>
      </c>
      <c r="G7" s="16">
        <v>0.25</v>
      </c>
      <c r="H7" s="18">
        <v>0.25</v>
      </c>
      <c r="J7" t="s">
        <v>60</v>
      </c>
      <c r="K7">
        <f>_xlfn.PERCENTILE.EXC(A6:A45,0.75)</f>
        <v>23.75</v>
      </c>
    </row>
    <row r="8" spans="1:11" x14ac:dyDescent="0.2">
      <c r="A8" s="24">
        <v>16</v>
      </c>
      <c r="E8" s="27">
        <v>26</v>
      </c>
      <c r="F8" s="28">
        <v>9</v>
      </c>
      <c r="G8" s="16">
        <v>0.22500000000000001</v>
      </c>
      <c r="H8" s="18">
        <v>0.22500000000000001</v>
      </c>
    </row>
    <row r="9" spans="1:11" x14ac:dyDescent="0.2">
      <c r="A9" s="24">
        <v>16</v>
      </c>
      <c r="E9" s="28"/>
      <c r="F9" s="28"/>
      <c r="G9" s="3"/>
      <c r="H9" s="18"/>
    </row>
    <row r="10" spans="1:11" x14ac:dyDescent="0.2">
      <c r="A10" s="24">
        <v>16</v>
      </c>
      <c r="E10" s="3" t="s">
        <v>67</v>
      </c>
      <c r="F10" s="28">
        <v>40</v>
      </c>
      <c r="G10" s="3"/>
      <c r="H10" s="3"/>
    </row>
    <row r="11" spans="1:11" x14ac:dyDescent="0.2">
      <c r="A11" s="24">
        <v>17</v>
      </c>
    </row>
    <row r="12" spans="1:11" x14ac:dyDescent="0.2">
      <c r="A12" s="24">
        <v>18</v>
      </c>
    </row>
    <row r="13" spans="1:11" x14ac:dyDescent="0.2">
      <c r="A13" s="24">
        <v>18</v>
      </c>
    </row>
    <row r="14" spans="1:11" x14ac:dyDescent="0.2">
      <c r="A14" s="24">
        <v>19</v>
      </c>
    </row>
    <row r="15" spans="1:11" x14ac:dyDescent="0.2">
      <c r="A15" s="24">
        <v>19</v>
      </c>
    </row>
    <row r="16" spans="1:11" x14ac:dyDescent="0.2">
      <c r="A16" s="24">
        <v>19</v>
      </c>
    </row>
    <row r="17" spans="1:17" x14ac:dyDescent="0.2">
      <c r="A17" s="24">
        <v>19</v>
      </c>
    </row>
    <row r="18" spans="1:17" x14ac:dyDescent="0.2">
      <c r="A18" s="24">
        <v>19</v>
      </c>
    </row>
    <row r="19" spans="1:17" x14ac:dyDescent="0.2">
      <c r="A19" s="24">
        <v>20</v>
      </c>
    </row>
    <row r="20" spans="1:17" x14ac:dyDescent="0.2">
      <c r="A20" s="24">
        <v>20</v>
      </c>
    </row>
    <row r="21" spans="1:17" x14ac:dyDescent="0.2">
      <c r="A21" s="24">
        <v>20</v>
      </c>
    </row>
    <row r="22" spans="1:17" x14ac:dyDescent="0.2">
      <c r="A22" s="24">
        <v>20</v>
      </c>
    </row>
    <row r="23" spans="1:17" x14ac:dyDescent="0.2">
      <c r="A23" s="24">
        <v>21</v>
      </c>
    </row>
    <row r="24" spans="1:17" x14ac:dyDescent="0.2">
      <c r="A24" s="24">
        <v>21</v>
      </c>
    </row>
    <row r="25" spans="1:17" x14ac:dyDescent="0.2">
      <c r="A25" s="24">
        <v>21</v>
      </c>
    </row>
    <row r="26" spans="1:17" x14ac:dyDescent="0.2">
      <c r="A26" s="24">
        <v>22</v>
      </c>
    </row>
    <row r="27" spans="1:17" x14ac:dyDescent="0.2">
      <c r="A27" s="24">
        <v>22</v>
      </c>
      <c r="Q27" s="1"/>
    </row>
    <row r="28" spans="1:17" x14ac:dyDescent="0.2">
      <c r="A28" s="24">
        <v>22</v>
      </c>
      <c r="Q28" s="3"/>
    </row>
    <row r="29" spans="1:17" x14ac:dyDescent="0.2">
      <c r="A29" s="24">
        <v>22</v>
      </c>
      <c r="Q29" s="3"/>
    </row>
    <row r="30" spans="1:17" x14ac:dyDescent="0.2">
      <c r="A30" s="24">
        <v>23</v>
      </c>
      <c r="Q30" s="3"/>
    </row>
    <row r="31" spans="1:17" x14ac:dyDescent="0.2">
      <c r="A31" s="24">
        <v>23</v>
      </c>
      <c r="Q31" s="3"/>
    </row>
    <row r="32" spans="1:17" x14ac:dyDescent="0.2">
      <c r="A32" s="24">
        <v>23</v>
      </c>
      <c r="Q32" s="3"/>
    </row>
    <row r="33" spans="1:17" x14ac:dyDescent="0.2">
      <c r="A33" s="24">
        <v>24</v>
      </c>
      <c r="Q33" s="3"/>
    </row>
    <row r="34" spans="1:17" x14ac:dyDescent="0.2">
      <c r="A34" s="24">
        <v>24</v>
      </c>
    </row>
    <row r="35" spans="1:17" x14ac:dyDescent="0.2">
      <c r="A35" s="24">
        <v>24</v>
      </c>
    </row>
    <row r="36" spans="1:17" x14ac:dyDescent="0.2">
      <c r="A36" s="24">
        <v>24</v>
      </c>
    </row>
    <row r="37" spans="1:17" x14ac:dyDescent="0.2">
      <c r="A37" s="24">
        <v>24</v>
      </c>
    </row>
    <row r="38" spans="1:17" x14ac:dyDescent="0.2">
      <c r="A38" s="24">
        <v>25</v>
      </c>
    </row>
    <row r="39" spans="1:17" x14ac:dyDescent="0.2">
      <c r="A39" s="24">
        <v>25</v>
      </c>
    </row>
    <row r="40" spans="1:17" x14ac:dyDescent="0.2">
      <c r="A40" s="24">
        <v>25</v>
      </c>
    </row>
    <row r="41" spans="1:17" x14ac:dyDescent="0.2">
      <c r="A41" s="24">
        <v>26</v>
      </c>
    </row>
    <row r="42" spans="1:17" x14ac:dyDescent="0.2">
      <c r="A42" s="25"/>
    </row>
  </sheetData>
  <sortState xmlns:xlrd2="http://schemas.microsoft.com/office/spreadsheetml/2017/richdata2" ref="E4:E8">
    <sortCondition ref="E4"/>
  </sortState>
  <phoneticPr fontId="7"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BB9814-E0CC-4943-B6FC-EA20EE093F74}">
  <dimension ref="A1:E12"/>
  <sheetViews>
    <sheetView workbookViewId="0">
      <selection activeCell="D10" sqref="D10"/>
    </sheetView>
  </sheetViews>
  <sheetFormatPr baseColWidth="10" defaultColWidth="8.83203125" defaultRowHeight="15" x14ac:dyDescent="0.2"/>
  <cols>
    <col min="2" max="2" width="11.83203125" bestFit="1" customWidth="1"/>
  </cols>
  <sheetData>
    <row r="1" spans="1:5" ht="16" x14ac:dyDescent="0.2">
      <c r="A1" s="5" t="s">
        <v>8</v>
      </c>
      <c r="B1" s="6" t="s">
        <v>9</v>
      </c>
      <c r="C1" s="5" t="s">
        <v>10</v>
      </c>
    </row>
    <row r="2" spans="1:5" ht="16" x14ac:dyDescent="0.2">
      <c r="A2" s="7">
        <v>1</v>
      </c>
      <c r="B2" s="7">
        <v>11000</v>
      </c>
      <c r="C2" s="7">
        <v>5600</v>
      </c>
    </row>
    <row r="3" spans="1:5" ht="16" x14ac:dyDescent="0.2">
      <c r="A3" s="7">
        <v>2</v>
      </c>
      <c r="B3" s="7">
        <v>12000</v>
      </c>
      <c r="C3" s="7">
        <v>6300</v>
      </c>
    </row>
    <row r="4" spans="1:5" ht="16" x14ac:dyDescent="0.2">
      <c r="A4" s="7">
        <v>3</v>
      </c>
      <c r="B4" s="7">
        <v>13000</v>
      </c>
      <c r="C4" s="7">
        <v>6900</v>
      </c>
    </row>
    <row r="5" spans="1:5" ht="16" x14ac:dyDescent="0.2">
      <c r="A5" s="7">
        <v>4</v>
      </c>
      <c r="B5" s="7">
        <v>14000</v>
      </c>
      <c r="C5" s="7">
        <v>7600</v>
      </c>
    </row>
    <row r="6" spans="1:5" ht="16" x14ac:dyDescent="0.2">
      <c r="A6" s="7">
        <v>5</v>
      </c>
      <c r="B6" s="7">
        <v>15000</v>
      </c>
      <c r="C6" s="7">
        <v>8500</v>
      </c>
    </row>
    <row r="7" spans="1:5" ht="16" x14ac:dyDescent="0.2">
      <c r="A7" s="7">
        <v>6</v>
      </c>
      <c r="B7" s="7">
        <v>16000</v>
      </c>
      <c r="C7" s="7">
        <v>9200</v>
      </c>
    </row>
    <row r="8" spans="1:5" ht="16" x14ac:dyDescent="0.2">
      <c r="A8" s="7">
        <v>7</v>
      </c>
      <c r="B8" s="7">
        <v>17000</v>
      </c>
      <c r="C8" s="7">
        <v>9900</v>
      </c>
    </row>
    <row r="9" spans="1:5" ht="16" x14ac:dyDescent="0.2">
      <c r="A9" s="7">
        <v>8</v>
      </c>
      <c r="B9" s="7">
        <v>18000</v>
      </c>
      <c r="C9" s="7">
        <v>10600</v>
      </c>
    </row>
    <row r="10" spans="1:5" x14ac:dyDescent="0.2">
      <c r="B10" s="22">
        <v>1.64</v>
      </c>
      <c r="C10" s="22">
        <v>1.89</v>
      </c>
      <c r="D10" s="22">
        <v>0.26</v>
      </c>
    </row>
    <row r="12" spans="1:5" x14ac:dyDescent="0.2">
      <c r="E12" s="15"/>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FE55A6-6D91-430E-953E-83F77C249245}">
  <dimension ref="A1:E10"/>
  <sheetViews>
    <sheetView workbookViewId="0">
      <selection activeCell="A11" sqref="A2:E11"/>
    </sheetView>
  </sheetViews>
  <sheetFormatPr baseColWidth="10" defaultColWidth="8.83203125" defaultRowHeight="15" x14ac:dyDescent="0.2"/>
  <cols>
    <col min="1" max="1" width="19.5" customWidth="1"/>
    <col min="2" max="2" width="18" customWidth="1"/>
    <col min="3" max="3" width="47.1640625" customWidth="1"/>
    <col min="4" max="4" width="23.83203125" customWidth="1"/>
    <col min="5" max="5" width="23.1640625" customWidth="1"/>
  </cols>
  <sheetData>
    <row r="1" spans="1:5" ht="16" x14ac:dyDescent="0.2">
      <c r="A1" s="8" t="s">
        <v>11</v>
      </c>
      <c r="B1" s="8" t="s">
        <v>12</v>
      </c>
      <c r="C1" s="8" t="s">
        <v>13</v>
      </c>
      <c r="D1" s="8" t="s">
        <v>14</v>
      </c>
      <c r="E1" s="8" t="s">
        <v>15</v>
      </c>
    </row>
    <row r="2" spans="1:5" ht="16" x14ac:dyDescent="0.2">
      <c r="A2" s="8" t="s">
        <v>18</v>
      </c>
      <c r="B2" s="8">
        <v>452359.19</v>
      </c>
      <c r="C2" s="9">
        <v>21987.246200000001</v>
      </c>
      <c r="D2" s="8">
        <v>175</v>
      </c>
      <c r="E2" s="8">
        <v>21</v>
      </c>
    </row>
    <row r="3" spans="1:5" ht="16" x14ac:dyDescent="0.2">
      <c r="A3" s="8" t="s">
        <v>22</v>
      </c>
      <c r="B3" s="8">
        <v>379401.94</v>
      </c>
      <c r="C3" s="9">
        <v>27981.443200000002</v>
      </c>
      <c r="D3" s="8">
        <v>121</v>
      </c>
      <c r="E3" s="8">
        <v>12</v>
      </c>
    </row>
    <row r="4" spans="1:5" ht="16" x14ac:dyDescent="0.2">
      <c r="A4" s="8" t="s">
        <v>16</v>
      </c>
      <c r="B4" s="8">
        <v>325000.78000000003</v>
      </c>
      <c r="C4" s="9">
        <v>12499.3452</v>
      </c>
      <c r="D4" s="8">
        <v>124</v>
      </c>
      <c r="E4" s="8">
        <v>14</v>
      </c>
    </row>
    <row r="5" spans="1:5" ht="16" x14ac:dyDescent="0.2">
      <c r="A5" s="8" t="s">
        <v>21</v>
      </c>
      <c r="B5" s="8">
        <v>234091.39</v>
      </c>
      <c r="C5" s="9">
        <v>14567.9833</v>
      </c>
      <c r="D5" s="8">
        <v>48</v>
      </c>
      <c r="E5" s="8">
        <v>9</v>
      </c>
    </row>
    <row r="6" spans="1:5" ht="16" x14ac:dyDescent="0.2">
      <c r="A6" s="8" t="s">
        <v>24</v>
      </c>
      <c r="B6" s="8">
        <v>127845.22</v>
      </c>
      <c r="C6" s="9">
        <v>13322.971299999999</v>
      </c>
      <c r="D6" s="8">
        <v>17</v>
      </c>
      <c r="E6" s="8">
        <v>3</v>
      </c>
    </row>
    <row r="7" spans="1:5" ht="16" x14ac:dyDescent="0.2">
      <c r="A7" s="8" t="s">
        <v>20</v>
      </c>
      <c r="B7" s="8">
        <v>87654.21</v>
      </c>
      <c r="C7" s="9">
        <v>1250.1393</v>
      </c>
      <c r="D7" s="8">
        <v>21</v>
      </c>
      <c r="E7" s="8">
        <v>4</v>
      </c>
    </row>
    <row r="8" spans="1:5" ht="16" x14ac:dyDescent="0.2">
      <c r="A8" s="8" t="s">
        <v>19</v>
      </c>
      <c r="B8" s="8">
        <v>87423.91</v>
      </c>
      <c r="C8" s="9">
        <v>7642.9011</v>
      </c>
      <c r="D8" s="8">
        <v>28</v>
      </c>
      <c r="E8" s="8">
        <v>3</v>
      </c>
    </row>
    <row r="9" spans="1:5" ht="16" x14ac:dyDescent="0.2">
      <c r="A9" s="8" t="s">
        <v>23</v>
      </c>
      <c r="B9" s="8">
        <v>31733.59</v>
      </c>
      <c r="C9" s="9">
        <v>672.91110000000003</v>
      </c>
      <c r="D9" s="8">
        <v>7</v>
      </c>
      <c r="E9" s="8">
        <v>1</v>
      </c>
    </row>
    <row r="10" spans="1:5" ht="16" x14ac:dyDescent="0.2">
      <c r="A10" s="8" t="s">
        <v>17</v>
      </c>
      <c r="B10" s="8">
        <v>13678.21</v>
      </c>
      <c r="C10" s="9">
        <v>239.9434</v>
      </c>
      <c r="D10" s="8">
        <v>9</v>
      </c>
      <c r="E10" s="8">
        <v>7</v>
      </c>
    </row>
  </sheetData>
  <autoFilter ref="A2:E10" xr:uid="{5BFE55A6-6D91-430E-953E-83F77C249245}"/>
  <sortState xmlns:xlrd2="http://schemas.microsoft.com/office/spreadsheetml/2017/richdata2" ref="A2:E10">
    <sortCondition descending="1" ref="B2:B10"/>
  </sortState>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513B73-8C33-4723-9912-7A5475C662CD}">
  <dimension ref="A1:F45"/>
  <sheetViews>
    <sheetView workbookViewId="0">
      <selection activeCell="I33" sqref="I33"/>
    </sheetView>
  </sheetViews>
  <sheetFormatPr baseColWidth="10" defaultColWidth="8.83203125" defaultRowHeight="15" x14ac:dyDescent="0.2"/>
  <cols>
    <col min="1" max="1" width="25.33203125" bestFit="1" customWidth="1"/>
    <col min="2" max="2" width="14.83203125" bestFit="1" customWidth="1"/>
    <col min="3" max="5" width="12.6640625" bestFit="1" customWidth="1"/>
    <col min="6" max="6" width="10" bestFit="1" customWidth="1"/>
    <col min="7" max="7" width="26" bestFit="1" customWidth="1"/>
    <col min="8" max="8" width="25.33203125" bestFit="1" customWidth="1"/>
    <col min="9" max="9" width="14.83203125" bestFit="1" customWidth="1"/>
    <col min="10" max="12" width="12.6640625" bestFit="1" customWidth="1"/>
    <col min="13" max="13" width="10" bestFit="1" customWidth="1"/>
    <col min="14" max="14" width="11.5" bestFit="1" customWidth="1"/>
    <col min="15" max="15" width="7.1640625" bestFit="1" customWidth="1"/>
    <col min="16" max="16" width="11.5" bestFit="1" customWidth="1"/>
    <col min="17" max="17" width="7.1640625" bestFit="1" customWidth="1"/>
    <col min="18" max="18" width="11.5" bestFit="1" customWidth="1"/>
    <col min="19" max="19" width="7.1640625" bestFit="1" customWidth="1"/>
    <col min="20" max="20" width="11.5" bestFit="1" customWidth="1"/>
    <col min="21" max="21" width="7.1640625" bestFit="1" customWidth="1"/>
    <col min="22" max="22" width="11.5" bestFit="1" customWidth="1"/>
    <col min="23" max="23" width="7.1640625" bestFit="1" customWidth="1"/>
    <col min="24" max="24" width="11.5" bestFit="1" customWidth="1"/>
    <col min="25" max="25" width="7.1640625" bestFit="1" customWidth="1"/>
    <col min="26" max="26" width="11.5" bestFit="1" customWidth="1"/>
    <col min="27" max="27" width="7.1640625" bestFit="1" customWidth="1"/>
    <col min="28" max="28" width="11.5" bestFit="1" customWidth="1"/>
    <col min="29" max="29" width="7.1640625" bestFit="1" customWidth="1"/>
    <col min="30" max="30" width="11.5" bestFit="1" customWidth="1"/>
    <col min="31" max="31" width="7.1640625" bestFit="1" customWidth="1"/>
    <col min="32" max="32" width="11.5" bestFit="1" customWidth="1"/>
    <col min="33" max="33" width="7.1640625" bestFit="1" customWidth="1"/>
    <col min="34" max="34" width="11.5" bestFit="1" customWidth="1"/>
    <col min="35" max="35" width="12.6640625" bestFit="1" customWidth="1"/>
    <col min="36" max="36" width="12.5" bestFit="1" customWidth="1"/>
    <col min="37" max="37" width="12.6640625" bestFit="1" customWidth="1"/>
    <col min="38" max="38" width="12.5" bestFit="1" customWidth="1"/>
    <col min="39" max="39" width="12.6640625" bestFit="1" customWidth="1"/>
    <col min="40" max="40" width="12.5" bestFit="1" customWidth="1"/>
    <col min="41" max="41" width="12.6640625" bestFit="1" customWidth="1"/>
    <col min="42" max="42" width="12.5" bestFit="1" customWidth="1"/>
    <col min="43" max="43" width="12.6640625" bestFit="1" customWidth="1"/>
    <col min="44" max="44" width="12.5" bestFit="1" customWidth="1"/>
    <col min="45" max="45" width="12.6640625" bestFit="1" customWidth="1"/>
    <col min="46" max="46" width="12.5" bestFit="1" customWidth="1"/>
    <col min="47" max="47" width="12.6640625" bestFit="1" customWidth="1"/>
    <col min="48" max="48" width="12.5" bestFit="1" customWidth="1"/>
    <col min="49" max="49" width="11" bestFit="1" customWidth="1"/>
  </cols>
  <sheetData>
    <row r="1" spans="1:3" ht="16" x14ac:dyDescent="0.2">
      <c r="A1" s="10" t="s">
        <v>25</v>
      </c>
      <c r="B1" s="11" t="s">
        <v>26</v>
      </c>
      <c r="C1" s="15" t="s">
        <v>69</v>
      </c>
    </row>
    <row r="2" spans="1:3" x14ac:dyDescent="0.2">
      <c r="A2" t="s">
        <v>27</v>
      </c>
      <c r="B2" s="12">
        <v>1864</v>
      </c>
      <c r="C2" t="str">
        <f>IF(B2&lt;10000, "0-9,999", IF(B2&lt;20000, "10,000-19,999", IF(B2&lt;30000, "20,000-29,999", "30,000-39,999")))</f>
        <v>0-9,999</v>
      </c>
    </row>
    <row r="3" spans="1:3" x14ac:dyDescent="0.2">
      <c r="A3" t="s">
        <v>28</v>
      </c>
      <c r="B3" s="12">
        <v>3183</v>
      </c>
      <c r="C3" t="str">
        <f>IF(B3&lt;10000, "0-9,999", IF(B3&lt;20000, "10,000-19,999", IF(B3&lt;30000, "20,000-29,999", "30,000-39,999")))</f>
        <v>0-9,999</v>
      </c>
    </row>
    <row r="4" spans="1:3" x14ac:dyDescent="0.2">
      <c r="A4" t="s">
        <v>29</v>
      </c>
      <c r="B4" s="12">
        <v>32805</v>
      </c>
      <c r="C4" t="str">
        <f t="shared" ref="C3:C21" si="0">IF(B4&lt;10000, "0-9,999", IF(B4&lt;20000, "10,000-19,999", IF(B4&lt;30000, "20,000-29,999", "30,000-39,999")))</f>
        <v>30,000-39,999</v>
      </c>
    </row>
    <row r="5" spans="1:3" x14ac:dyDescent="0.2">
      <c r="A5" t="s">
        <v>30</v>
      </c>
      <c r="B5" s="12">
        <v>37496</v>
      </c>
      <c r="C5" t="str">
        <f t="shared" si="0"/>
        <v>30,000-39,999</v>
      </c>
    </row>
    <row r="6" spans="1:3" x14ac:dyDescent="0.2">
      <c r="A6" t="s">
        <v>31</v>
      </c>
      <c r="B6" s="12">
        <v>2130</v>
      </c>
      <c r="C6" t="str">
        <f t="shared" si="0"/>
        <v>0-9,999</v>
      </c>
    </row>
    <row r="7" spans="1:3" x14ac:dyDescent="0.2">
      <c r="A7" t="s">
        <v>32</v>
      </c>
      <c r="B7" s="12">
        <v>1877</v>
      </c>
      <c r="C7" t="str">
        <f t="shared" si="0"/>
        <v>0-9,999</v>
      </c>
    </row>
    <row r="8" spans="1:3" x14ac:dyDescent="0.2">
      <c r="A8" t="s">
        <v>33</v>
      </c>
      <c r="B8" s="12">
        <v>2155</v>
      </c>
      <c r="C8" t="str">
        <f t="shared" si="0"/>
        <v>0-9,999</v>
      </c>
    </row>
    <row r="9" spans="1:3" x14ac:dyDescent="0.2">
      <c r="A9" t="s">
        <v>34</v>
      </c>
      <c r="B9" s="12">
        <v>1572</v>
      </c>
      <c r="C9" t="str">
        <f t="shared" si="0"/>
        <v>0-9,999</v>
      </c>
    </row>
    <row r="10" spans="1:3" x14ac:dyDescent="0.2">
      <c r="A10" t="s">
        <v>35</v>
      </c>
      <c r="B10" s="12">
        <v>34871</v>
      </c>
      <c r="C10" t="str">
        <f t="shared" si="0"/>
        <v>30,000-39,999</v>
      </c>
    </row>
    <row r="11" spans="1:3" x14ac:dyDescent="0.2">
      <c r="A11" t="s">
        <v>36</v>
      </c>
      <c r="B11" s="12">
        <v>1668</v>
      </c>
      <c r="C11" t="str">
        <f t="shared" si="0"/>
        <v>0-9,999</v>
      </c>
    </row>
    <row r="12" spans="1:3" x14ac:dyDescent="0.2">
      <c r="A12" t="s">
        <v>37</v>
      </c>
      <c r="B12" s="12">
        <v>12394</v>
      </c>
      <c r="C12" t="str">
        <f t="shared" si="0"/>
        <v>10,000-19,999</v>
      </c>
    </row>
    <row r="13" spans="1:3" x14ac:dyDescent="0.2">
      <c r="A13" t="s">
        <v>38</v>
      </c>
      <c r="B13" s="12">
        <v>1901</v>
      </c>
      <c r="C13" t="str">
        <f t="shared" si="0"/>
        <v>0-9,999</v>
      </c>
    </row>
    <row r="14" spans="1:3" x14ac:dyDescent="0.2">
      <c r="A14" t="s">
        <v>39</v>
      </c>
      <c r="B14" s="12">
        <v>13281</v>
      </c>
      <c r="C14" t="str">
        <f t="shared" si="0"/>
        <v>10,000-19,999</v>
      </c>
    </row>
    <row r="15" spans="1:3" x14ac:dyDescent="0.2">
      <c r="A15" t="s">
        <v>40</v>
      </c>
      <c r="B15" s="12">
        <v>25199</v>
      </c>
      <c r="C15" t="str">
        <f t="shared" si="0"/>
        <v>20,000-29,999</v>
      </c>
    </row>
    <row r="16" spans="1:3" x14ac:dyDescent="0.2">
      <c r="A16" t="s">
        <v>41</v>
      </c>
      <c r="B16" s="12">
        <v>9947</v>
      </c>
      <c r="C16" t="str">
        <f t="shared" si="0"/>
        <v>0-9,999</v>
      </c>
    </row>
    <row r="17" spans="1:6" x14ac:dyDescent="0.2">
      <c r="A17" t="s">
        <v>42</v>
      </c>
      <c r="B17" s="12">
        <v>16224</v>
      </c>
      <c r="C17" t="str">
        <f t="shared" si="0"/>
        <v>10,000-19,999</v>
      </c>
    </row>
    <row r="18" spans="1:6" x14ac:dyDescent="0.2">
      <c r="A18" t="s">
        <v>43</v>
      </c>
      <c r="B18" s="12">
        <v>7683</v>
      </c>
      <c r="C18" t="str">
        <f t="shared" si="0"/>
        <v>0-9,999</v>
      </c>
    </row>
    <row r="19" spans="1:6" x14ac:dyDescent="0.2">
      <c r="A19" t="s">
        <v>44</v>
      </c>
      <c r="B19" s="12">
        <v>1618</v>
      </c>
      <c r="C19" t="str">
        <f t="shared" si="0"/>
        <v>0-9,999</v>
      </c>
    </row>
    <row r="20" spans="1:6" x14ac:dyDescent="0.2">
      <c r="A20" t="s">
        <v>45</v>
      </c>
      <c r="B20" s="12">
        <v>1431</v>
      </c>
      <c r="C20" t="str">
        <f t="shared" si="0"/>
        <v>0-9,999</v>
      </c>
    </row>
    <row r="21" spans="1:6" x14ac:dyDescent="0.2">
      <c r="A21" t="s">
        <v>46</v>
      </c>
      <c r="B21" s="12">
        <v>5018</v>
      </c>
      <c r="C21" t="str">
        <f t="shared" si="0"/>
        <v>0-9,999</v>
      </c>
    </row>
    <row r="23" spans="1:6" x14ac:dyDescent="0.2">
      <c r="A23" s="20" t="s">
        <v>73</v>
      </c>
      <c r="B23" s="20" t="s">
        <v>63</v>
      </c>
    </row>
    <row r="24" spans="1:6" x14ac:dyDescent="0.2">
      <c r="A24" s="20" t="s">
        <v>61</v>
      </c>
      <c r="B24" t="s">
        <v>68</v>
      </c>
      <c r="C24" t="s">
        <v>70</v>
      </c>
      <c r="D24" t="s">
        <v>71</v>
      </c>
      <c r="E24" t="s">
        <v>72</v>
      </c>
      <c r="F24" t="s">
        <v>62</v>
      </c>
    </row>
    <row r="25" spans="1:6" x14ac:dyDescent="0.2">
      <c r="A25" s="21" t="s">
        <v>30</v>
      </c>
      <c r="B25" s="23"/>
      <c r="C25" s="23"/>
      <c r="D25" s="23"/>
      <c r="E25" s="23">
        <v>1</v>
      </c>
      <c r="F25" s="23">
        <v>1</v>
      </c>
    </row>
    <row r="26" spans="1:6" x14ac:dyDescent="0.2">
      <c r="A26" s="21" t="s">
        <v>28</v>
      </c>
      <c r="B26" s="23">
        <v>1</v>
      </c>
      <c r="C26" s="23"/>
      <c r="D26" s="23"/>
      <c r="E26" s="23"/>
      <c r="F26" s="23">
        <v>1</v>
      </c>
    </row>
    <row r="27" spans="1:6" x14ac:dyDescent="0.2">
      <c r="A27" s="21" t="s">
        <v>44</v>
      </c>
      <c r="B27" s="23">
        <v>1</v>
      </c>
      <c r="C27" s="23"/>
      <c r="D27" s="23"/>
      <c r="E27" s="23"/>
      <c r="F27" s="23">
        <v>1</v>
      </c>
    </row>
    <row r="28" spans="1:6" x14ac:dyDescent="0.2">
      <c r="A28" s="21" t="s">
        <v>32</v>
      </c>
      <c r="B28" s="23">
        <v>1</v>
      </c>
      <c r="C28" s="23"/>
      <c r="D28" s="23"/>
      <c r="E28" s="23"/>
      <c r="F28" s="23">
        <v>1</v>
      </c>
    </row>
    <row r="29" spans="1:6" x14ac:dyDescent="0.2">
      <c r="A29" s="21" t="s">
        <v>36</v>
      </c>
      <c r="B29" s="23">
        <v>1</v>
      </c>
      <c r="C29" s="23"/>
      <c r="D29" s="23"/>
      <c r="E29" s="23"/>
      <c r="F29" s="23">
        <v>1</v>
      </c>
    </row>
    <row r="30" spans="1:6" x14ac:dyDescent="0.2">
      <c r="A30" s="21" t="s">
        <v>41</v>
      </c>
      <c r="B30" s="23">
        <v>1</v>
      </c>
      <c r="C30" s="23"/>
      <c r="D30" s="23"/>
      <c r="E30" s="23"/>
      <c r="F30" s="23">
        <v>1</v>
      </c>
    </row>
    <row r="31" spans="1:6" x14ac:dyDescent="0.2">
      <c r="A31" s="21" t="s">
        <v>27</v>
      </c>
      <c r="B31" s="23">
        <v>1</v>
      </c>
      <c r="C31" s="23"/>
      <c r="D31" s="23"/>
      <c r="E31" s="23"/>
      <c r="F31" s="23">
        <v>1</v>
      </c>
    </row>
    <row r="32" spans="1:6" x14ac:dyDescent="0.2">
      <c r="A32" s="21" t="s">
        <v>38</v>
      </c>
      <c r="B32" s="23">
        <v>1</v>
      </c>
      <c r="C32" s="23"/>
      <c r="D32" s="23"/>
      <c r="E32" s="23"/>
      <c r="F32" s="23">
        <v>1</v>
      </c>
    </row>
    <row r="33" spans="1:6" x14ac:dyDescent="0.2">
      <c r="A33" s="21" t="s">
        <v>37</v>
      </c>
      <c r="B33" s="23"/>
      <c r="C33" s="23">
        <v>1</v>
      </c>
      <c r="D33" s="23"/>
      <c r="E33" s="23"/>
      <c r="F33" s="23">
        <v>1</v>
      </c>
    </row>
    <row r="34" spans="1:6" x14ac:dyDescent="0.2">
      <c r="A34" s="21" t="s">
        <v>43</v>
      </c>
      <c r="B34" s="23">
        <v>1</v>
      </c>
      <c r="C34" s="23"/>
      <c r="D34" s="23"/>
      <c r="E34" s="23"/>
      <c r="F34" s="23">
        <v>1</v>
      </c>
    </row>
    <row r="35" spans="1:6" x14ac:dyDescent="0.2">
      <c r="A35" s="21" t="s">
        <v>42</v>
      </c>
      <c r="B35" s="23"/>
      <c r="C35" s="23">
        <v>1</v>
      </c>
      <c r="D35" s="23"/>
      <c r="E35" s="23"/>
      <c r="F35" s="23">
        <v>1</v>
      </c>
    </row>
    <row r="36" spans="1:6" x14ac:dyDescent="0.2">
      <c r="A36" s="21" t="s">
        <v>40</v>
      </c>
      <c r="B36" s="23"/>
      <c r="C36" s="23"/>
      <c r="D36" s="23">
        <v>1</v>
      </c>
      <c r="E36" s="23"/>
      <c r="F36" s="23">
        <v>1</v>
      </c>
    </row>
    <row r="37" spans="1:6" x14ac:dyDescent="0.2">
      <c r="A37" s="21" t="s">
        <v>45</v>
      </c>
      <c r="B37" s="23">
        <v>1</v>
      </c>
      <c r="C37" s="23"/>
      <c r="D37" s="23"/>
      <c r="E37" s="23"/>
      <c r="F37" s="23">
        <v>1</v>
      </c>
    </row>
    <row r="38" spans="1:6" x14ac:dyDescent="0.2">
      <c r="A38" s="21" t="s">
        <v>29</v>
      </c>
      <c r="B38" s="23"/>
      <c r="C38" s="23"/>
      <c r="D38" s="23"/>
      <c r="E38" s="23">
        <v>1</v>
      </c>
      <c r="F38" s="23">
        <v>1</v>
      </c>
    </row>
    <row r="39" spans="1:6" x14ac:dyDescent="0.2">
      <c r="A39" s="21" t="s">
        <v>39</v>
      </c>
      <c r="B39" s="23"/>
      <c r="C39" s="23">
        <v>1</v>
      </c>
      <c r="D39" s="23"/>
      <c r="E39" s="23"/>
      <c r="F39" s="23">
        <v>1</v>
      </c>
    </row>
    <row r="40" spans="1:6" x14ac:dyDescent="0.2">
      <c r="A40" s="21" t="s">
        <v>34</v>
      </c>
      <c r="B40" s="23">
        <v>1</v>
      </c>
      <c r="C40" s="23"/>
      <c r="D40" s="23"/>
      <c r="E40" s="23"/>
      <c r="F40" s="23">
        <v>1</v>
      </c>
    </row>
    <row r="41" spans="1:6" x14ac:dyDescent="0.2">
      <c r="A41" s="21" t="s">
        <v>46</v>
      </c>
      <c r="B41" s="23">
        <v>1</v>
      </c>
      <c r="C41" s="23"/>
      <c r="D41" s="23"/>
      <c r="E41" s="23"/>
      <c r="F41" s="23">
        <v>1</v>
      </c>
    </row>
    <row r="42" spans="1:6" x14ac:dyDescent="0.2">
      <c r="A42" s="21" t="s">
        <v>35</v>
      </c>
      <c r="B42" s="23"/>
      <c r="C42" s="23"/>
      <c r="D42" s="23"/>
      <c r="E42" s="23">
        <v>1</v>
      </c>
      <c r="F42" s="23">
        <v>1</v>
      </c>
    </row>
    <row r="43" spans="1:6" x14ac:dyDescent="0.2">
      <c r="A43" s="21" t="s">
        <v>31</v>
      </c>
      <c r="B43" s="23">
        <v>1</v>
      </c>
      <c r="C43" s="23"/>
      <c r="D43" s="23"/>
      <c r="E43" s="23"/>
      <c r="F43" s="23">
        <v>1</v>
      </c>
    </row>
    <row r="44" spans="1:6" x14ac:dyDescent="0.2">
      <c r="A44" s="21" t="s">
        <v>33</v>
      </c>
      <c r="B44" s="23">
        <v>1</v>
      </c>
      <c r="C44" s="23"/>
      <c r="D44" s="23"/>
      <c r="E44" s="23"/>
      <c r="F44" s="23">
        <v>1</v>
      </c>
    </row>
    <row r="45" spans="1:6" x14ac:dyDescent="0.2">
      <c r="A45" s="21" t="s">
        <v>62</v>
      </c>
      <c r="B45" s="23">
        <v>13</v>
      </c>
      <c r="C45" s="23">
        <v>3</v>
      </c>
      <c r="D45" s="23">
        <v>1</v>
      </c>
      <c r="E45" s="23">
        <v>3</v>
      </c>
      <c r="F45" s="23">
        <v>20</v>
      </c>
    </row>
  </sheetData>
  <phoneticPr fontId="7" type="noConversion"/>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8577E1-C0B9-4DDC-81EC-7AD5D1148C6C}">
  <dimension ref="A1:P21"/>
  <sheetViews>
    <sheetView tabSelected="1" workbookViewId="0">
      <selection activeCell="H10" sqref="H10"/>
    </sheetView>
  </sheetViews>
  <sheetFormatPr baseColWidth="10" defaultColWidth="8.83203125" defaultRowHeight="15" x14ac:dyDescent="0.2"/>
  <cols>
    <col min="1" max="1" width="13.1640625" customWidth="1"/>
  </cols>
  <sheetData>
    <row r="1" spans="1:7" ht="16" x14ac:dyDescent="0.2">
      <c r="A1" s="4" t="s">
        <v>47</v>
      </c>
      <c r="B1" s="4" t="s">
        <v>48</v>
      </c>
      <c r="C1" s="4" t="s">
        <v>49</v>
      </c>
    </row>
    <row r="2" spans="1:7" ht="16" x14ac:dyDescent="0.2">
      <c r="A2" s="13">
        <v>1</v>
      </c>
      <c r="B2" s="14">
        <v>-22</v>
      </c>
      <c r="C2" s="14">
        <v>22</v>
      </c>
    </row>
    <row r="3" spans="1:7" ht="16" x14ac:dyDescent="0.2">
      <c r="A3" s="13">
        <v>2</v>
      </c>
      <c r="B3" s="14">
        <v>-33</v>
      </c>
      <c r="C3" s="14">
        <v>49</v>
      </c>
    </row>
    <row r="4" spans="1:7" ht="16" x14ac:dyDescent="0.2">
      <c r="A4" s="13">
        <v>3</v>
      </c>
      <c r="B4" s="14">
        <v>2</v>
      </c>
      <c r="C4" s="14">
        <v>8</v>
      </c>
    </row>
    <row r="5" spans="1:7" ht="16" x14ac:dyDescent="0.2">
      <c r="A5" s="13">
        <v>4</v>
      </c>
      <c r="B5" s="14">
        <v>29</v>
      </c>
      <c r="C5" s="14">
        <v>-16</v>
      </c>
    </row>
    <row r="6" spans="1:7" ht="16" x14ac:dyDescent="0.2">
      <c r="A6" s="13">
        <v>5</v>
      </c>
      <c r="B6" s="14">
        <v>-13</v>
      </c>
      <c r="C6" s="14">
        <v>10</v>
      </c>
    </row>
    <row r="7" spans="1:7" ht="16" x14ac:dyDescent="0.2">
      <c r="A7" s="13">
        <v>6</v>
      </c>
      <c r="B7" s="14">
        <v>21</v>
      </c>
      <c r="C7" s="14">
        <v>-28</v>
      </c>
    </row>
    <row r="8" spans="1:7" ht="16" x14ac:dyDescent="0.2">
      <c r="A8" s="13">
        <v>7</v>
      </c>
      <c r="B8" s="14">
        <v>-13</v>
      </c>
      <c r="C8" s="14">
        <v>27</v>
      </c>
    </row>
    <row r="9" spans="1:7" ht="16" x14ac:dyDescent="0.2">
      <c r="A9" s="13">
        <v>8</v>
      </c>
      <c r="B9" s="14">
        <v>-23</v>
      </c>
      <c r="C9" s="14">
        <v>35</v>
      </c>
    </row>
    <row r="10" spans="1:7" ht="16" x14ac:dyDescent="0.2">
      <c r="A10" s="13">
        <v>9</v>
      </c>
      <c r="B10" s="14">
        <v>14</v>
      </c>
      <c r="C10" s="14">
        <v>-5</v>
      </c>
    </row>
    <row r="11" spans="1:7" ht="16" x14ac:dyDescent="0.2">
      <c r="A11" s="13">
        <v>10</v>
      </c>
      <c r="B11" s="14">
        <v>3</v>
      </c>
      <c r="C11" s="14">
        <v>-3</v>
      </c>
    </row>
    <row r="12" spans="1:7" ht="16" x14ac:dyDescent="0.2">
      <c r="A12" s="13">
        <v>11</v>
      </c>
      <c r="B12" s="14">
        <v>-37</v>
      </c>
      <c r="C12" s="14">
        <v>48</v>
      </c>
    </row>
    <row r="13" spans="1:7" ht="16" x14ac:dyDescent="0.2">
      <c r="A13" s="13">
        <v>12</v>
      </c>
      <c r="B13" s="14">
        <v>34</v>
      </c>
      <c r="C13" s="14">
        <v>-29</v>
      </c>
    </row>
    <row r="14" spans="1:7" ht="16" x14ac:dyDescent="0.2">
      <c r="A14" s="13">
        <v>13</v>
      </c>
      <c r="B14" s="14">
        <v>9</v>
      </c>
      <c r="C14" s="14">
        <v>-18</v>
      </c>
    </row>
    <row r="15" spans="1:7" ht="16" x14ac:dyDescent="0.2">
      <c r="A15" s="13">
        <v>14</v>
      </c>
      <c r="B15" s="14">
        <v>-33</v>
      </c>
      <c r="C15" s="14">
        <v>31</v>
      </c>
    </row>
    <row r="16" spans="1:7" ht="16" x14ac:dyDescent="0.2">
      <c r="A16" s="13">
        <v>15</v>
      </c>
      <c r="B16" s="14">
        <v>20</v>
      </c>
      <c r="C16" s="14">
        <v>-16</v>
      </c>
      <c r="G16" s="15" t="s">
        <v>64</v>
      </c>
    </row>
    <row r="17" spans="1:16" ht="16" x14ac:dyDescent="0.2">
      <c r="A17" s="13">
        <v>16</v>
      </c>
      <c r="B17" s="14">
        <v>-3</v>
      </c>
      <c r="C17" s="14">
        <v>14</v>
      </c>
      <c r="P17" s="15"/>
    </row>
    <row r="18" spans="1:16" ht="16" x14ac:dyDescent="0.2">
      <c r="A18" s="13">
        <v>17</v>
      </c>
      <c r="B18" s="14">
        <v>-15</v>
      </c>
      <c r="C18" s="14">
        <v>18</v>
      </c>
    </row>
    <row r="19" spans="1:16" ht="16" x14ac:dyDescent="0.2">
      <c r="A19" s="13">
        <v>18</v>
      </c>
      <c r="B19" s="14">
        <v>12</v>
      </c>
      <c r="C19" s="14">
        <v>17</v>
      </c>
    </row>
    <row r="20" spans="1:16" ht="16" x14ac:dyDescent="0.2">
      <c r="A20" s="13">
        <v>19</v>
      </c>
      <c r="B20" s="14">
        <v>-20</v>
      </c>
      <c r="C20" s="14">
        <v>-11</v>
      </c>
    </row>
    <row r="21" spans="1:16" ht="16" x14ac:dyDescent="0.2">
      <c r="A21" s="13">
        <v>20</v>
      </c>
      <c r="B21" s="14">
        <v>-7</v>
      </c>
      <c r="C21" s="14">
        <v>-22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Question 1</vt:lpstr>
      <vt:lpstr>Question 2</vt:lpstr>
      <vt:lpstr>Question 3</vt:lpstr>
      <vt:lpstr>Question 4</vt:lpstr>
      <vt:lpstr>Question 5</vt:lpstr>
      <vt:lpstr>Question 6</vt:lpstr>
    </vt:vector>
  </TitlesOfParts>
  <Company>Hamline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Josh Beverly</dc:creator>
  <cp:lastModifiedBy>Troy Spellman</cp:lastModifiedBy>
  <dcterms:created xsi:type="dcterms:W3CDTF">2023-09-18T13:39:57Z</dcterms:created>
  <dcterms:modified xsi:type="dcterms:W3CDTF">2024-10-07T18:02:40Z</dcterms:modified>
</cp:coreProperties>
</file>