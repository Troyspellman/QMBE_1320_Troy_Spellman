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9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0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1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2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troyspellman/Documents/GitHub/QMBE_1320_Troy_Spellman/QMBE_1320_Troy_Spellman/"/>
    </mc:Choice>
  </mc:AlternateContent>
  <xr:revisionPtr revIDLastSave="0" documentId="8_{4622CFF8-15C0-534D-B88B-C845C9A4E045}" xr6:coauthVersionLast="47" xr6:coauthVersionMax="47" xr10:uidLastSave="{00000000-0000-0000-0000-000000000000}"/>
  <bookViews>
    <workbookView xWindow="1500" yWindow="1320" windowWidth="27640" windowHeight="16940" xr2:uid="{EC5A4249-940B-4F4B-97EA-79D3FD5A1C8B}"/>
  </bookViews>
  <sheets>
    <sheet name="Compared" sheetId="1" r:id="rId1"/>
  </sheets>
  <externalReferences>
    <externalReference r:id="rId2"/>
  </externalReferenc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6" i="1" l="1"/>
  <c r="AI6" i="1"/>
  <c r="AH6" i="1"/>
  <c r="AG6" i="1"/>
  <c r="AJ3" i="1"/>
  <c r="AI3" i="1"/>
  <c r="AH3" i="1"/>
  <c r="AG3" i="1"/>
  <c r="AF3" i="1"/>
</calcChain>
</file>

<file path=xl/sharedStrings.xml><?xml version="1.0" encoding="utf-8"?>
<sst xmlns="http://schemas.openxmlformats.org/spreadsheetml/2006/main" count="24" uniqueCount="19">
  <si>
    <t>PACKERS</t>
  </si>
  <si>
    <t>PATRIOTS</t>
  </si>
  <si>
    <t>LIONS</t>
  </si>
  <si>
    <t>CARDINALS</t>
  </si>
  <si>
    <t>Year</t>
  </si>
  <si>
    <t>Winning Teams</t>
  </si>
  <si>
    <t>Losing Teams</t>
  </si>
  <si>
    <t>winning weekly attendance</t>
  </si>
  <si>
    <t>Losing weekly_attendance</t>
  </si>
  <si>
    <t>Descriptive Data</t>
  </si>
  <si>
    <t>Winning teams per year</t>
  </si>
  <si>
    <t>Obs</t>
  </si>
  <si>
    <t>Mean</t>
  </si>
  <si>
    <t>Std.dev</t>
  </si>
  <si>
    <t>Min</t>
  </si>
  <si>
    <t>Max</t>
  </si>
  <si>
    <t>Packers &amp; Patriots</t>
  </si>
  <si>
    <t>Losing teams per year</t>
  </si>
  <si>
    <t>Lions &amp; Cardinals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</si>
</sst>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Packers Home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year</c:v>
          </c:tx>
          <c:spPr>
            <a:ln w="19050">
              <a:noFill/>
            </a:ln>
          </c:spPr>
          <c:xVal>
            <c:numRef>
              <c:f>[1]Packers!$E$2:$E$92</c:f>
              <c:numCache>
                <c:formatCode>General</c:formatCode>
                <c:ptCount val="91"/>
                <c:pt idx="0">
                  <c:v>478747</c:v>
                </c:pt>
                <c:pt idx="1">
                  <c:v>478747</c:v>
                </c:pt>
                <c:pt idx="2">
                  <c:v>478747</c:v>
                </c:pt>
                <c:pt idx="3">
                  <c:v>478747</c:v>
                </c:pt>
                <c:pt idx="4">
                  <c:v>478747</c:v>
                </c:pt>
                <c:pt idx="5">
                  <c:v>478747</c:v>
                </c:pt>
                <c:pt idx="6">
                  <c:v>478747</c:v>
                </c:pt>
                <c:pt idx="7">
                  <c:v>478747</c:v>
                </c:pt>
                <c:pt idx="8">
                  <c:v>478433</c:v>
                </c:pt>
                <c:pt idx="9">
                  <c:v>478433</c:v>
                </c:pt>
                <c:pt idx="10">
                  <c:v>478433</c:v>
                </c:pt>
                <c:pt idx="11">
                  <c:v>478433</c:v>
                </c:pt>
                <c:pt idx="12">
                  <c:v>478433</c:v>
                </c:pt>
                <c:pt idx="13">
                  <c:v>478433</c:v>
                </c:pt>
                <c:pt idx="14">
                  <c:v>478433</c:v>
                </c:pt>
                <c:pt idx="15">
                  <c:v>478433</c:v>
                </c:pt>
                <c:pt idx="16">
                  <c:v>508788</c:v>
                </c:pt>
                <c:pt idx="17">
                  <c:v>508788</c:v>
                </c:pt>
                <c:pt idx="18">
                  <c:v>508788</c:v>
                </c:pt>
                <c:pt idx="19">
                  <c:v>508788</c:v>
                </c:pt>
                <c:pt idx="20">
                  <c:v>508788</c:v>
                </c:pt>
                <c:pt idx="21">
                  <c:v>508788</c:v>
                </c:pt>
                <c:pt idx="22">
                  <c:v>508788</c:v>
                </c:pt>
                <c:pt idx="23">
                  <c:v>508788</c:v>
                </c:pt>
                <c:pt idx="24">
                  <c:v>562819</c:v>
                </c:pt>
                <c:pt idx="25">
                  <c:v>562819</c:v>
                </c:pt>
                <c:pt idx="26">
                  <c:v>562819</c:v>
                </c:pt>
                <c:pt idx="27">
                  <c:v>562819</c:v>
                </c:pt>
                <c:pt idx="28">
                  <c:v>562819</c:v>
                </c:pt>
                <c:pt idx="29">
                  <c:v>562819</c:v>
                </c:pt>
                <c:pt idx="30">
                  <c:v>562819</c:v>
                </c:pt>
                <c:pt idx="31">
                  <c:v>562819</c:v>
                </c:pt>
                <c:pt idx="32">
                  <c:v>564400</c:v>
                </c:pt>
                <c:pt idx="33">
                  <c:v>564400</c:v>
                </c:pt>
                <c:pt idx="34">
                  <c:v>564400</c:v>
                </c:pt>
                <c:pt idx="35">
                  <c:v>564400</c:v>
                </c:pt>
                <c:pt idx="36">
                  <c:v>564400</c:v>
                </c:pt>
                <c:pt idx="37">
                  <c:v>564400</c:v>
                </c:pt>
                <c:pt idx="38">
                  <c:v>564400</c:v>
                </c:pt>
                <c:pt idx="39">
                  <c:v>564400</c:v>
                </c:pt>
                <c:pt idx="40">
                  <c:v>562419</c:v>
                </c:pt>
                <c:pt idx="41">
                  <c:v>562419</c:v>
                </c:pt>
                <c:pt idx="42">
                  <c:v>562419</c:v>
                </c:pt>
                <c:pt idx="43">
                  <c:v>562419</c:v>
                </c:pt>
                <c:pt idx="44">
                  <c:v>562419</c:v>
                </c:pt>
                <c:pt idx="45">
                  <c:v>562419</c:v>
                </c:pt>
                <c:pt idx="46">
                  <c:v>562419</c:v>
                </c:pt>
                <c:pt idx="47">
                  <c:v>562419</c:v>
                </c:pt>
                <c:pt idx="48">
                  <c:v>565749</c:v>
                </c:pt>
                <c:pt idx="49">
                  <c:v>565749</c:v>
                </c:pt>
                <c:pt idx="50">
                  <c:v>565749</c:v>
                </c:pt>
                <c:pt idx="51">
                  <c:v>565749</c:v>
                </c:pt>
                <c:pt idx="52">
                  <c:v>565749</c:v>
                </c:pt>
                <c:pt idx="53">
                  <c:v>565749</c:v>
                </c:pt>
                <c:pt idx="54">
                  <c:v>565749</c:v>
                </c:pt>
                <c:pt idx="55">
                  <c:v>565749</c:v>
                </c:pt>
                <c:pt idx="56">
                  <c:v>566443</c:v>
                </c:pt>
                <c:pt idx="57">
                  <c:v>566443</c:v>
                </c:pt>
                <c:pt idx="58">
                  <c:v>566443</c:v>
                </c:pt>
                <c:pt idx="59">
                  <c:v>566443</c:v>
                </c:pt>
                <c:pt idx="60">
                  <c:v>566443</c:v>
                </c:pt>
                <c:pt idx="61">
                  <c:v>566443</c:v>
                </c:pt>
                <c:pt idx="62">
                  <c:v>566443</c:v>
                </c:pt>
                <c:pt idx="63">
                  <c:v>566443</c:v>
                </c:pt>
                <c:pt idx="64">
                  <c:v>565460</c:v>
                </c:pt>
                <c:pt idx="65">
                  <c:v>565460</c:v>
                </c:pt>
                <c:pt idx="66">
                  <c:v>565460</c:v>
                </c:pt>
                <c:pt idx="67">
                  <c:v>565460</c:v>
                </c:pt>
                <c:pt idx="68">
                  <c:v>565460</c:v>
                </c:pt>
                <c:pt idx="69">
                  <c:v>565460</c:v>
                </c:pt>
                <c:pt idx="70">
                  <c:v>565460</c:v>
                </c:pt>
                <c:pt idx="71">
                  <c:v>565460</c:v>
                </c:pt>
                <c:pt idx="72">
                  <c:v>565666</c:v>
                </c:pt>
                <c:pt idx="73">
                  <c:v>565666</c:v>
                </c:pt>
                <c:pt idx="74">
                  <c:v>565666</c:v>
                </c:pt>
                <c:pt idx="75">
                  <c:v>565666</c:v>
                </c:pt>
                <c:pt idx="76">
                  <c:v>565666</c:v>
                </c:pt>
                <c:pt idx="77">
                  <c:v>565666</c:v>
                </c:pt>
                <c:pt idx="78">
                  <c:v>565666</c:v>
                </c:pt>
                <c:pt idx="79">
                  <c:v>565666</c:v>
                </c:pt>
                <c:pt idx="80">
                  <c:v>566362</c:v>
                </c:pt>
                <c:pt idx="81">
                  <c:v>566362</c:v>
                </c:pt>
                <c:pt idx="82">
                  <c:v>566362</c:v>
                </c:pt>
                <c:pt idx="83">
                  <c:v>566362</c:v>
                </c:pt>
                <c:pt idx="84">
                  <c:v>566362</c:v>
                </c:pt>
                <c:pt idx="85">
                  <c:v>566362</c:v>
                </c:pt>
                <c:pt idx="86">
                  <c:v>566362</c:v>
                </c:pt>
                <c:pt idx="87">
                  <c:v>566362</c:v>
                </c:pt>
              </c:numCache>
            </c:numRef>
          </c:xVal>
          <c:yVal>
            <c:numRef>
              <c:f>[1]Packers!$C$2:$C$92</c:f>
              <c:numCache>
                <c:formatCode>General</c:formatCode>
                <c:ptCount val="91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2001</c:v>
                </c:pt>
                <c:pt idx="9">
                  <c:v>2001</c:v>
                </c:pt>
                <c:pt idx="10">
                  <c:v>2001</c:v>
                </c:pt>
                <c:pt idx="11">
                  <c:v>2001</c:v>
                </c:pt>
                <c:pt idx="12">
                  <c:v>2001</c:v>
                </c:pt>
                <c:pt idx="13">
                  <c:v>2001</c:v>
                </c:pt>
                <c:pt idx="14">
                  <c:v>2001</c:v>
                </c:pt>
                <c:pt idx="15">
                  <c:v>2001</c:v>
                </c:pt>
                <c:pt idx="16">
                  <c:v>2002</c:v>
                </c:pt>
                <c:pt idx="17">
                  <c:v>2002</c:v>
                </c:pt>
                <c:pt idx="18">
                  <c:v>2002</c:v>
                </c:pt>
                <c:pt idx="19">
                  <c:v>2002</c:v>
                </c:pt>
                <c:pt idx="20">
                  <c:v>2002</c:v>
                </c:pt>
                <c:pt idx="21">
                  <c:v>2002</c:v>
                </c:pt>
                <c:pt idx="22">
                  <c:v>2002</c:v>
                </c:pt>
                <c:pt idx="23">
                  <c:v>2002</c:v>
                </c:pt>
                <c:pt idx="24">
                  <c:v>2003</c:v>
                </c:pt>
                <c:pt idx="25">
                  <c:v>2003</c:v>
                </c:pt>
                <c:pt idx="26">
                  <c:v>2003</c:v>
                </c:pt>
                <c:pt idx="27">
                  <c:v>2003</c:v>
                </c:pt>
                <c:pt idx="28">
                  <c:v>2003</c:v>
                </c:pt>
                <c:pt idx="29">
                  <c:v>2003</c:v>
                </c:pt>
                <c:pt idx="30">
                  <c:v>2003</c:v>
                </c:pt>
                <c:pt idx="31">
                  <c:v>2003</c:v>
                </c:pt>
                <c:pt idx="32">
                  <c:v>2004</c:v>
                </c:pt>
                <c:pt idx="33">
                  <c:v>2004</c:v>
                </c:pt>
                <c:pt idx="34">
                  <c:v>2004</c:v>
                </c:pt>
                <c:pt idx="35">
                  <c:v>2004</c:v>
                </c:pt>
                <c:pt idx="36">
                  <c:v>2004</c:v>
                </c:pt>
                <c:pt idx="37">
                  <c:v>2004</c:v>
                </c:pt>
                <c:pt idx="38">
                  <c:v>2004</c:v>
                </c:pt>
                <c:pt idx="39">
                  <c:v>2004</c:v>
                </c:pt>
                <c:pt idx="40">
                  <c:v>2005</c:v>
                </c:pt>
                <c:pt idx="41">
                  <c:v>2005</c:v>
                </c:pt>
                <c:pt idx="42">
                  <c:v>2005</c:v>
                </c:pt>
                <c:pt idx="43">
                  <c:v>2005</c:v>
                </c:pt>
                <c:pt idx="44">
                  <c:v>2005</c:v>
                </c:pt>
                <c:pt idx="45">
                  <c:v>2005</c:v>
                </c:pt>
                <c:pt idx="46">
                  <c:v>2005</c:v>
                </c:pt>
                <c:pt idx="47">
                  <c:v>2005</c:v>
                </c:pt>
                <c:pt idx="48">
                  <c:v>2006</c:v>
                </c:pt>
                <c:pt idx="49">
                  <c:v>2006</c:v>
                </c:pt>
                <c:pt idx="50">
                  <c:v>2006</c:v>
                </c:pt>
                <c:pt idx="51">
                  <c:v>2006</c:v>
                </c:pt>
                <c:pt idx="52">
                  <c:v>2006</c:v>
                </c:pt>
                <c:pt idx="53">
                  <c:v>2006</c:v>
                </c:pt>
                <c:pt idx="54">
                  <c:v>2006</c:v>
                </c:pt>
                <c:pt idx="55">
                  <c:v>2006</c:v>
                </c:pt>
                <c:pt idx="56">
                  <c:v>2007</c:v>
                </c:pt>
                <c:pt idx="57">
                  <c:v>2007</c:v>
                </c:pt>
                <c:pt idx="58">
                  <c:v>2007</c:v>
                </c:pt>
                <c:pt idx="59">
                  <c:v>2007</c:v>
                </c:pt>
                <c:pt idx="60">
                  <c:v>2007</c:v>
                </c:pt>
                <c:pt idx="61">
                  <c:v>2007</c:v>
                </c:pt>
                <c:pt idx="62">
                  <c:v>2007</c:v>
                </c:pt>
                <c:pt idx="63">
                  <c:v>2007</c:v>
                </c:pt>
                <c:pt idx="64">
                  <c:v>2008</c:v>
                </c:pt>
                <c:pt idx="65">
                  <c:v>2008</c:v>
                </c:pt>
                <c:pt idx="66">
                  <c:v>2008</c:v>
                </c:pt>
                <c:pt idx="67">
                  <c:v>2008</c:v>
                </c:pt>
                <c:pt idx="68">
                  <c:v>2008</c:v>
                </c:pt>
                <c:pt idx="69">
                  <c:v>2008</c:v>
                </c:pt>
                <c:pt idx="70">
                  <c:v>2008</c:v>
                </c:pt>
                <c:pt idx="71">
                  <c:v>2008</c:v>
                </c:pt>
                <c:pt idx="72">
                  <c:v>2009</c:v>
                </c:pt>
                <c:pt idx="73">
                  <c:v>2009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2010</c:v>
                </c:pt>
                <c:pt idx="81">
                  <c:v>2010</c:v>
                </c:pt>
                <c:pt idx="82">
                  <c:v>2010</c:v>
                </c:pt>
                <c:pt idx="83">
                  <c:v>2010</c:v>
                </c:pt>
                <c:pt idx="84">
                  <c:v>2010</c:v>
                </c:pt>
                <c:pt idx="85">
                  <c:v>2010</c:v>
                </c:pt>
                <c:pt idx="86">
                  <c:v>2010</c:v>
                </c:pt>
                <c:pt idx="87">
                  <c:v>2010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81-3445-916C-DB207A28BD88}"/>
            </c:ext>
          </c:extLst>
        </c:ser>
        <c:ser>
          <c:idx val="1"/>
          <c:order val="1"/>
          <c:tx>
            <c:v>Predicted year</c:v>
          </c:tx>
          <c:spPr>
            <a:ln w="19050">
              <a:noFill/>
            </a:ln>
          </c:spPr>
          <c:xVal>
            <c:numRef>
              <c:f>[1]Packers!$E$2:$E$92</c:f>
              <c:numCache>
                <c:formatCode>General</c:formatCode>
                <c:ptCount val="91"/>
                <c:pt idx="0">
                  <c:v>478747</c:v>
                </c:pt>
                <c:pt idx="1">
                  <c:v>478747</c:v>
                </c:pt>
                <c:pt idx="2">
                  <c:v>478747</c:v>
                </c:pt>
                <c:pt idx="3">
                  <c:v>478747</c:v>
                </c:pt>
                <c:pt idx="4">
                  <c:v>478747</c:v>
                </c:pt>
                <c:pt idx="5">
                  <c:v>478747</c:v>
                </c:pt>
                <c:pt idx="6">
                  <c:v>478747</c:v>
                </c:pt>
                <c:pt idx="7">
                  <c:v>478747</c:v>
                </c:pt>
                <c:pt idx="8">
                  <c:v>478433</c:v>
                </c:pt>
                <c:pt idx="9">
                  <c:v>478433</c:v>
                </c:pt>
                <c:pt idx="10">
                  <c:v>478433</c:v>
                </c:pt>
                <c:pt idx="11">
                  <c:v>478433</c:v>
                </c:pt>
                <c:pt idx="12">
                  <c:v>478433</c:v>
                </c:pt>
                <c:pt idx="13">
                  <c:v>478433</c:v>
                </c:pt>
                <c:pt idx="14">
                  <c:v>478433</c:v>
                </c:pt>
                <c:pt idx="15">
                  <c:v>478433</c:v>
                </c:pt>
                <c:pt idx="16">
                  <c:v>508788</c:v>
                </c:pt>
                <c:pt idx="17">
                  <c:v>508788</c:v>
                </c:pt>
                <c:pt idx="18">
                  <c:v>508788</c:v>
                </c:pt>
                <c:pt idx="19">
                  <c:v>508788</c:v>
                </c:pt>
                <c:pt idx="20">
                  <c:v>508788</c:v>
                </c:pt>
                <c:pt idx="21">
                  <c:v>508788</c:v>
                </c:pt>
                <c:pt idx="22">
                  <c:v>508788</c:v>
                </c:pt>
                <c:pt idx="23">
                  <c:v>508788</c:v>
                </c:pt>
                <c:pt idx="24">
                  <c:v>562819</c:v>
                </c:pt>
                <c:pt idx="25">
                  <c:v>562819</c:v>
                </c:pt>
                <c:pt idx="26">
                  <c:v>562819</c:v>
                </c:pt>
                <c:pt idx="27">
                  <c:v>562819</c:v>
                </c:pt>
                <c:pt idx="28">
                  <c:v>562819</c:v>
                </c:pt>
                <c:pt idx="29">
                  <c:v>562819</c:v>
                </c:pt>
                <c:pt idx="30">
                  <c:v>562819</c:v>
                </c:pt>
                <c:pt idx="31">
                  <c:v>562819</c:v>
                </c:pt>
                <c:pt idx="32">
                  <c:v>564400</c:v>
                </c:pt>
                <c:pt idx="33">
                  <c:v>564400</c:v>
                </c:pt>
                <c:pt idx="34">
                  <c:v>564400</c:v>
                </c:pt>
                <c:pt idx="35">
                  <c:v>564400</c:v>
                </c:pt>
                <c:pt idx="36">
                  <c:v>564400</c:v>
                </c:pt>
                <c:pt idx="37">
                  <c:v>564400</c:v>
                </c:pt>
                <c:pt idx="38">
                  <c:v>564400</c:v>
                </c:pt>
                <c:pt idx="39">
                  <c:v>564400</c:v>
                </c:pt>
                <c:pt idx="40">
                  <c:v>562419</c:v>
                </c:pt>
                <c:pt idx="41">
                  <c:v>562419</c:v>
                </c:pt>
                <c:pt idx="42">
                  <c:v>562419</c:v>
                </c:pt>
                <c:pt idx="43">
                  <c:v>562419</c:v>
                </c:pt>
                <c:pt idx="44">
                  <c:v>562419</c:v>
                </c:pt>
                <c:pt idx="45">
                  <c:v>562419</c:v>
                </c:pt>
                <c:pt idx="46">
                  <c:v>562419</c:v>
                </c:pt>
                <c:pt idx="47">
                  <c:v>562419</c:v>
                </c:pt>
                <c:pt idx="48">
                  <c:v>565749</c:v>
                </c:pt>
                <c:pt idx="49">
                  <c:v>565749</c:v>
                </c:pt>
                <c:pt idx="50">
                  <c:v>565749</c:v>
                </c:pt>
                <c:pt idx="51">
                  <c:v>565749</c:v>
                </c:pt>
                <c:pt idx="52">
                  <c:v>565749</c:v>
                </c:pt>
                <c:pt idx="53">
                  <c:v>565749</c:v>
                </c:pt>
                <c:pt idx="54">
                  <c:v>565749</c:v>
                </c:pt>
                <c:pt idx="55">
                  <c:v>565749</c:v>
                </c:pt>
                <c:pt idx="56">
                  <c:v>566443</c:v>
                </c:pt>
                <c:pt idx="57">
                  <c:v>566443</c:v>
                </c:pt>
                <c:pt idx="58">
                  <c:v>566443</c:v>
                </c:pt>
                <c:pt idx="59">
                  <c:v>566443</c:v>
                </c:pt>
                <c:pt idx="60">
                  <c:v>566443</c:v>
                </c:pt>
                <c:pt idx="61">
                  <c:v>566443</c:v>
                </c:pt>
                <c:pt idx="62">
                  <c:v>566443</c:v>
                </c:pt>
                <c:pt idx="63">
                  <c:v>566443</c:v>
                </c:pt>
                <c:pt idx="64">
                  <c:v>565460</c:v>
                </c:pt>
                <c:pt idx="65">
                  <c:v>565460</c:v>
                </c:pt>
                <c:pt idx="66">
                  <c:v>565460</c:v>
                </c:pt>
                <c:pt idx="67">
                  <c:v>565460</c:v>
                </c:pt>
                <c:pt idx="68">
                  <c:v>565460</c:v>
                </c:pt>
                <c:pt idx="69">
                  <c:v>565460</c:v>
                </c:pt>
                <c:pt idx="70">
                  <c:v>565460</c:v>
                </c:pt>
                <c:pt idx="71">
                  <c:v>565460</c:v>
                </c:pt>
                <c:pt idx="72">
                  <c:v>565666</c:v>
                </c:pt>
                <c:pt idx="73">
                  <c:v>565666</c:v>
                </c:pt>
                <c:pt idx="74">
                  <c:v>565666</c:v>
                </c:pt>
                <c:pt idx="75">
                  <c:v>565666</c:v>
                </c:pt>
                <c:pt idx="76">
                  <c:v>565666</c:v>
                </c:pt>
                <c:pt idx="77">
                  <c:v>565666</c:v>
                </c:pt>
                <c:pt idx="78">
                  <c:v>565666</c:v>
                </c:pt>
                <c:pt idx="79">
                  <c:v>565666</c:v>
                </c:pt>
                <c:pt idx="80">
                  <c:v>566362</c:v>
                </c:pt>
                <c:pt idx="81">
                  <c:v>566362</c:v>
                </c:pt>
                <c:pt idx="82">
                  <c:v>566362</c:v>
                </c:pt>
                <c:pt idx="83">
                  <c:v>566362</c:v>
                </c:pt>
                <c:pt idx="84">
                  <c:v>566362</c:v>
                </c:pt>
                <c:pt idx="85">
                  <c:v>566362</c:v>
                </c:pt>
                <c:pt idx="86">
                  <c:v>566362</c:v>
                </c:pt>
                <c:pt idx="87">
                  <c:v>566362</c:v>
                </c:pt>
              </c:numCache>
            </c:numRef>
          </c:xVal>
          <c:yVal>
            <c:numRef>
              <c:f>[1]Packers!$O$56:$O$241</c:f>
              <c:numCache>
                <c:formatCode>General</c:formatCode>
                <c:ptCount val="186"/>
                <c:pt idx="0">
                  <c:v>2000.2654642724492</c:v>
                </c:pt>
                <c:pt idx="1">
                  <c:v>2000.2654642724492</c:v>
                </c:pt>
                <c:pt idx="2">
                  <c:v>2000.2654642724492</c:v>
                </c:pt>
                <c:pt idx="3">
                  <c:v>2000.2654642724492</c:v>
                </c:pt>
                <c:pt idx="4">
                  <c:v>2000.2654642724492</c:v>
                </c:pt>
                <c:pt idx="5">
                  <c:v>2000.2654642724492</c:v>
                </c:pt>
                <c:pt idx="6">
                  <c:v>2000.2654642724492</c:v>
                </c:pt>
                <c:pt idx="7">
                  <c:v>2000.2654642724492</c:v>
                </c:pt>
                <c:pt idx="8">
                  <c:v>2000.2654642724492</c:v>
                </c:pt>
                <c:pt idx="9">
                  <c:v>2000.2654642724492</c:v>
                </c:pt>
                <c:pt idx="10">
                  <c:v>2000.2654642724492</c:v>
                </c:pt>
                <c:pt idx="11">
                  <c:v>2000.2654642724492</c:v>
                </c:pt>
                <c:pt idx="12">
                  <c:v>2000.2654642724492</c:v>
                </c:pt>
                <c:pt idx="13">
                  <c:v>2000.2654642724492</c:v>
                </c:pt>
                <c:pt idx="14">
                  <c:v>2000.2654642724492</c:v>
                </c:pt>
                <c:pt idx="15">
                  <c:v>2000.2654642724492</c:v>
                </c:pt>
                <c:pt idx="16">
                  <c:v>2000.2654642724492</c:v>
                </c:pt>
                <c:pt idx="17">
                  <c:v>2000.2427108838003</c:v>
                </c:pt>
                <c:pt idx="18">
                  <c:v>2000.2427108838003</c:v>
                </c:pt>
                <c:pt idx="19">
                  <c:v>2000.2427108838003</c:v>
                </c:pt>
                <c:pt idx="20">
                  <c:v>2000.2427108838003</c:v>
                </c:pt>
                <c:pt idx="21">
                  <c:v>2000.2427108838003</c:v>
                </c:pt>
                <c:pt idx="22">
                  <c:v>2000.2427108838003</c:v>
                </c:pt>
                <c:pt idx="23">
                  <c:v>2000.2427108838003</c:v>
                </c:pt>
                <c:pt idx="24">
                  <c:v>2000.2427108838003</c:v>
                </c:pt>
                <c:pt idx="25">
                  <c:v>2000.2427108838003</c:v>
                </c:pt>
                <c:pt idx="26">
                  <c:v>2000.2427108838003</c:v>
                </c:pt>
                <c:pt idx="27">
                  <c:v>2000.2427108838003</c:v>
                </c:pt>
                <c:pt idx="28">
                  <c:v>2000.2427108838003</c:v>
                </c:pt>
                <c:pt idx="29">
                  <c:v>2000.2427108838003</c:v>
                </c:pt>
                <c:pt idx="30">
                  <c:v>2000.2427108838003</c:v>
                </c:pt>
                <c:pt idx="31">
                  <c:v>2000.2427108838003</c:v>
                </c:pt>
                <c:pt idx="32">
                  <c:v>2000.2427108838003</c:v>
                </c:pt>
                <c:pt idx="33">
                  <c:v>2000.2427108838003</c:v>
                </c:pt>
                <c:pt idx="34">
                  <c:v>2002.4423258915617</c:v>
                </c:pt>
                <c:pt idx="35">
                  <c:v>2002.4423258915617</c:v>
                </c:pt>
                <c:pt idx="36">
                  <c:v>2002.4423258915617</c:v>
                </c:pt>
                <c:pt idx="37">
                  <c:v>2002.4423258915617</c:v>
                </c:pt>
                <c:pt idx="38">
                  <c:v>2002.4423258915617</c:v>
                </c:pt>
                <c:pt idx="39">
                  <c:v>2002.4423258915617</c:v>
                </c:pt>
                <c:pt idx="40">
                  <c:v>2002.4423258915617</c:v>
                </c:pt>
                <c:pt idx="41">
                  <c:v>2002.4423258915617</c:v>
                </c:pt>
                <c:pt idx="42">
                  <c:v>2002.4423258915617</c:v>
                </c:pt>
                <c:pt idx="43">
                  <c:v>2002.4423258915617</c:v>
                </c:pt>
                <c:pt idx="44">
                  <c:v>2002.4423258915617</c:v>
                </c:pt>
                <c:pt idx="45">
                  <c:v>2002.4423258915617</c:v>
                </c:pt>
                <c:pt idx="46">
                  <c:v>2002.4423258915617</c:v>
                </c:pt>
                <c:pt idx="47">
                  <c:v>2002.4423258915617</c:v>
                </c:pt>
                <c:pt idx="48">
                  <c:v>2002.4423258915617</c:v>
                </c:pt>
                <c:pt idx="49">
                  <c:v>2002.4423258915617</c:v>
                </c:pt>
                <c:pt idx="50">
                  <c:v>2006.357575388658</c:v>
                </c:pt>
                <c:pt idx="51">
                  <c:v>2006.357575388658</c:v>
                </c:pt>
                <c:pt idx="52">
                  <c:v>2006.357575388658</c:v>
                </c:pt>
                <c:pt idx="53">
                  <c:v>2006.357575388658</c:v>
                </c:pt>
                <c:pt idx="54">
                  <c:v>2006.357575388658</c:v>
                </c:pt>
                <c:pt idx="55">
                  <c:v>2006.357575388658</c:v>
                </c:pt>
                <c:pt idx="56">
                  <c:v>2006.357575388658</c:v>
                </c:pt>
                <c:pt idx="57">
                  <c:v>2006.357575388658</c:v>
                </c:pt>
                <c:pt idx="58">
                  <c:v>2006.357575388658</c:v>
                </c:pt>
                <c:pt idx="59">
                  <c:v>2006.357575388658</c:v>
                </c:pt>
                <c:pt idx="60">
                  <c:v>2006.357575388658</c:v>
                </c:pt>
                <c:pt idx="61">
                  <c:v>2006.357575388658</c:v>
                </c:pt>
                <c:pt idx="62">
                  <c:v>2006.357575388658</c:v>
                </c:pt>
                <c:pt idx="63">
                  <c:v>2006.357575388658</c:v>
                </c:pt>
                <c:pt idx="64">
                  <c:v>2006.357575388658</c:v>
                </c:pt>
                <c:pt idx="65">
                  <c:v>2006.357575388658</c:v>
                </c:pt>
                <c:pt idx="66">
                  <c:v>2006.357575388658</c:v>
                </c:pt>
                <c:pt idx="67">
                  <c:v>2006.4721394251355</c:v>
                </c:pt>
                <c:pt idx="68">
                  <c:v>2006.4721394251355</c:v>
                </c:pt>
                <c:pt idx="69">
                  <c:v>2006.4721394251355</c:v>
                </c:pt>
                <c:pt idx="70">
                  <c:v>2006.4721394251355</c:v>
                </c:pt>
                <c:pt idx="71">
                  <c:v>2006.4721394251355</c:v>
                </c:pt>
                <c:pt idx="72">
                  <c:v>2006.4721394251355</c:v>
                </c:pt>
                <c:pt idx="73">
                  <c:v>2006.4721394251355</c:v>
                </c:pt>
                <c:pt idx="74">
                  <c:v>2006.4721394251355</c:v>
                </c:pt>
                <c:pt idx="75">
                  <c:v>2006.4721394251355</c:v>
                </c:pt>
                <c:pt idx="76">
                  <c:v>2006.4721394251355</c:v>
                </c:pt>
                <c:pt idx="77">
                  <c:v>2006.4721394251355</c:v>
                </c:pt>
                <c:pt idx="78">
                  <c:v>2006.4721394251355</c:v>
                </c:pt>
                <c:pt idx="79">
                  <c:v>2006.4721394251355</c:v>
                </c:pt>
                <c:pt idx="80">
                  <c:v>2006.4721394251355</c:v>
                </c:pt>
                <c:pt idx="81">
                  <c:v>2006.4721394251355</c:v>
                </c:pt>
                <c:pt idx="82">
                  <c:v>2006.4721394251355</c:v>
                </c:pt>
                <c:pt idx="83">
                  <c:v>2006.4721394251355</c:v>
                </c:pt>
                <c:pt idx="84">
                  <c:v>2006.3285901801883</c:v>
                </c:pt>
                <c:pt idx="85">
                  <c:v>2006.3285901801883</c:v>
                </c:pt>
                <c:pt idx="86">
                  <c:v>2006.3285901801883</c:v>
                </c:pt>
                <c:pt idx="87">
                  <c:v>2006.3285901801883</c:v>
                </c:pt>
                <c:pt idx="88">
                  <c:v>2006.3285901801883</c:v>
                </c:pt>
                <c:pt idx="89">
                  <c:v>2006.3285901801883</c:v>
                </c:pt>
                <c:pt idx="90">
                  <c:v>2006.3285901801883</c:v>
                </c:pt>
                <c:pt idx="91">
                  <c:v>2006.3285901801883</c:v>
                </c:pt>
                <c:pt idx="92">
                  <c:v>2006.3285901801883</c:v>
                </c:pt>
                <c:pt idx="93">
                  <c:v>2006.3285901801883</c:v>
                </c:pt>
                <c:pt idx="94">
                  <c:v>2006.3285901801883</c:v>
                </c:pt>
                <c:pt idx="95">
                  <c:v>2006.3285901801883</c:v>
                </c:pt>
                <c:pt idx="96">
                  <c:v>2006.3285901801883</c:v>
                </c:pt>
                <c:pt idx="97">
                  <c:v>2006.3285901801883</c:v>
                </c:pt>
                <c:pt idx="98">
                  <c:v>2006.3285901801883</c:v>
                </c:pt>
                <c:pt idx="99">
                  <c:v>2006.3285901801883</c:v>
                </c:pt>
                <c:pt idx="100">
                  <c:v>2006.3285901801883</c:v>
                </c:pt>
                <c:pt idx="101">
                  <c:v>2006.5698920407003</c:v>
                </c:pt>
                <c:pt idx="102">
                  <c:v>2006.5698920407003</c:v>
                </c:pt>
                <c:pt idx="103">
                  <c:v>2006.5698920407003</c:v>
                </c:pt>
                <c:pt idx="104">
                  <c:v>2006.5698920407003</c:v>
                </c:pt>
                <c:pt idx="105">
                  <c:v>2006.5698920407003</c:v>
                </c:pt>
                <c:pt idx="106">
                  <c:v>2006.5698920407003</c:v>
                </c:pt>
                <c:pt idx="107">
                  <c:v>2006.5698920407003</c:v>
                </c:pt>
                <c:pt idx="108">
                  <c:v>2006.5698920407003</c:v>
                </c:pt>
                <c:pt idx="109">
                  <c:v>2006.5698920407003</c:v>
                </c:pt>
                <c:pt idx="110">
                  <c:v>2006.5698920407003</c:v>
                </c:pt>
                <c:pt idx="111">
                  <c:v>2006.5698920407003</c:v>
                </c:pt>
                <c:pt idx="112">
                  <c:v>2006.5698920407003</c:v>
                </c:pt>
                <c:pt idx="113">
                  <c:v>2006.5698920407003</c:v>
                </c:pt>
                <c:pt idx="114">
                  <c:v>2006.5698920407003</c:v>
                </c:pt>
                <c:pt idx="115">
                  <c:v>2006.5698920407003</c:v>
                </c:pt>
                <c:pt idx="116">
                  <c:v>2006.5698920407003</c:v>
                </c:pt>
                <c:pt idx="117">
                  <c:v>2006.5698920407003</c:v>
                </c:pt>
                <c:pt idx="118">
                  <c:v>2006.6201813773955</c:v>
                </c:pt>
                <c:pt idx="119">
                  <c:v>2006.6201813773955</c:v>
                </c:pt>
                <c:pt idx="120">
                  <c:v>2006.6201813773955</c:v>
                </c:pt>
                <c:pt idx="121">
                  <c:v>2006.6201813773955</c:v>
                </c:pt>
                <c:pt idx="122">
                  <c:v>2006.6201813773955</c:v>
                </c:pt>
                <c:pt idx="123">
                  <c:v>2006.6201813773955</c:v>
                </c:pt>
                <c:pt idx="124">
                  <c:v>2006.6201813773955</c:v>
                </c:pt>
                <c:pt idx="125">
                  <c:v>2006.6201813773955</c:v>
                </c:pt>
                <c:pt idx="126">
                  <c:v>2006.6201813773955</c:v>
                </c:pt>
                <c:pt idx="127">
                  <c:v>2006.6201813773955</c:v>
                </c:pt>
                <c:pt idx="128">
                  <c:v>2006.6201813773955</c:v>
                </c:pt>
                <c:pt idx="129">
                  <c:v>2006.6201813773955</c:v>
                </c:pt>
                <c:pt idx="130">
                  <c:v>2006.6201813773955</c:v>
                </c:pt>
                <c:pt idx="131">
                  <c:v>2006.6201813773955</c:v>
                </c:pt>
                <c:pt idx="132">
                  <c:v>2006.6201813773955</c:v>
                </c:pt>
                <c:pt idx="133">
                  <c:v>2006.6201813773955</c:v>
                </c:pt>
                <c:pt idx="134">
                  <c:v>2006.6201813773955</c:v>
                </c:pt>
                <c:pt idx="135">
                  <c:v>2006.5489502275807</c:v>
                </c:pt>
                <c:pt idx="136">
                  <c:v>2006.5489502275807</c:v>
                </c:pt>
                <c:pt idx="137">
                  <c:v>2006.5489502275807</c:v>
                </c:pt>
                <c:pt idx="138">
                  <c:v>2006.5489502275807</c:v>
                </c:pt>
                <c:pt idx="139">
                  <c:v>2006.5489502275807</c:v>
                </c:pt>
                <c:pt idx="140">
                  <c:v>2006.5489502275807</c:v>
                </c:pt>
                <c:pt idx="141">
                  <c:v>2006.5489502275807</c:v>
                </c:pt>
                <c:pt idx="142">
                  <c:v>2006.5489502275807</c:v>
                </c:pt>
                <c:pt idx="143">
                  <c:v>2006.5489502275807</c:v>
                </c:pt>
                <c:pt idx="144">
                  <c:v>2006.5489502275807</c:v>
                </c:pt>
                <c:pt idx="145">
                  <c:v>2006.5489502275807</c:v>
                </c:pt>
                <c:pt idx="146">
                  <c:v>2006.5489502275807</c:v>
                </c:pt>
                <c:pt idx="147">
                  <c:v>2006.5489502275807</c:v>
                </c:pt>
                <c:pt idx="148">
                  <c:v>2006.5489502275807</c:v>
                </c:pt>
                <c:pt idx="149">
                  <c:v>2006.5489502275807</c:v>
                </c:pt>
                <c:pt idx="150">
                  <c:v>2006.5489502275807</c:v>
                </c:pt>
                <c:pt idx="151">
                  <c:v>2006.5489502275807</c:v>
                </c:pt>
                <c:pt idx="152">
                  <c:v>2006.5638776099427</c:v>
                </c:pt>
                <c:pt idx="153">
                  <c:v>2006.5638776099427</c:v>
                </c:pt>
                <c:pt idx="154">
                  <c:v>2006.5638776099427</c:v>
                </c:pt>
                <c:pt idx="155">
                  <c:v>2006.5638776099427</c:v>
                </c:pt>
                <c:pt idx="156">
                  <c:v>2006.5638776099427</c:v>
                </c:pt>
                <c:pt idx="157">
                  <c:v>2006.5638776099427</c:v>
                </c:pt>
                <c:pt idx="158">
                  <c:v>2006.5638776099427</c:v>
                </c:pt>
                <c:pt idx="159">
                  <c:v>2006.5638776099427</c:v>
                </c:pt>
                <c:pt idx="160">
                  <c:v>2006.5638776099427</c:v>
                </c:pt>
                <c:pt idx="161">
                  <c:v>2006.5638776099427</c:v>
                </c:pt>
                <c:pt idx="162">
                  <c:v>2006.5638776099427</c:v>
                </c:pt>
                <c:pt idx="163">
                  <c:v>2006.5638776099427</c:v>
                </c:pt>
                <c:pt idx="164">
                  <c:v>2006.5638776099427</c:v>
                </c:pt>
                <c:pt idx="165">
                  <c:v>2006.5638776099427</c:v>
                </c:pt>
                <c:pt idx="166">
                  <c:v>2006.5638776099427</c:v>
                </c:pt>
                <c:pt idx="167">
                  <c:v>2006.5638776099427</c:v>
                </c:pt>
                <c:pt idx="168">
                  <c:v>2006.5638776099427</c:v>
                </c:pt>
                <c:pt idx="169">
                  <c:v>2006.6143118726804</c:v>
                </c:pt>
                <c:pt idx="170">
                  <c:v>2006.6143118726804</c:v>
                </c:pt>
                <c:pt idx="171">
                  <c:v>2006.6143118726804</c:v>
                </c:pt>
                <c:pt idx="172">
                  <c:v>2006.6143118726804</c:v>
                </c:pt>
                <c:pt idx="173">
                  <c:v>2006.6143118726804</c:v>
                </c:pt>
                <c:pt idx="174">
                  <c:v>2006.6143118726804</c:v>
                </c:pt>
                <c:pt idx="175">
                  <c:v>2006.6143118726804</c:v>
                </c:pt>
                <c:pt idx="176">
                  <c:v>2006.6143118726804</c:v>
                </c:pt>
                <c:pt idx="177">
                  <c:v>2006.6143118726804</c:v>
                </c:pt>
                <c:pt idx="178">
                  <c:v>2006.6143118726804</c:v>
                </c:pt>
                <c:pt idx="179">
                  <c:v>2006.6143118726804</c:v>
                </c:pt>
                <c:pt idx="180">
                  <c:v>2006.6143118726804</c:v>
                </c:pt>
                <c:pt idx="181">
                  <c:v>2006.6143118726804</c:v>
                </c:pt>
                <c:pt idx="182">
                  <c:v>2006.6143118726804</c:v>
                </c:pt>
                <c:pt idx="183">
                  <c:v>2006.6143118726804</c:v>
                </c:pt>
                <c:pt idx="184">
                  <c:v>2006.6143118726804</c:v>
                </c:pt>
                <c:pt idx="185">
                  <c:v>2006.6143118726804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81-3445-916C-DB207A28BD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6003840"/>
        <c:axId val="1592685568"/>
      </c:scatterChart>
      <c:valAx>
        <c:axId val="115600384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2685568"/>
        <c:crosses val="autoZero"/>
        <c:crossBetween val="midCat"/>
      </c:valAx>
      <c:valAx>
        <c:axId val="15926855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156003840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Patriots Home Line</a:t>
            </a:r>
            <a:r>
              <a:rPr lang="en-US" baseline="0"/>
              <a:t> Fit Plot</a:t>
            </a:r>
            <a:endParaRPr lang="en-US"/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year</c:v>
          </c:tx>
          <c:spPr>
            <a:ln w="19050">
              <a:noFill/>
            </a:ln>
          </c:spPr>
          <c:xVal>
            <c:numRef>
              <c:f>[1]Patriots!$E$2:$E$99</c:f>
              <c:numCache>
                <c:formatCode>General</c:formatCode>
                <c:ptCount val="98"/>
                <c:pt idx="0">
                  <c:v>482336</c:v>
                </c:pt>
                <c:pt idx="1">
                  <c:v>482336</c:v>
                </c:pt>
                <c:pt idx="2">
                  <c:v>482336</c:v>
                </c:pt>
                <c:pt idx="3">
                  <c:v>482336</c:v>
                </c:pt>
                <c:pt idx="4">
                  <c:v>482336</c:v>
                </c:pt>
                <c:pt idx="5">
                  <c:v>482336</c:v>
                </c:pt>
                <c:pt idx="6">
                  <c:v>482336</c:v>
                </c:pt>
                <c:pt idx="7">
                  <c:v>482336</c:v>
                </c:pt>
                <c:pt idx="8">
                  <c:v>482336</c:v>
                </c:pt>
                <c:pt idx="9">
                  <c:v>482336</c:v>
                </c:pt>
                <c:pt idx="10">
                  <c:v>482336</c:v>
                </c:pt>
                <c:pt idx="11">
                  <c:v>482336</c:v>
                </c:pt>
                <c:pt idx="12">
                  <c:v>482336</c:v>
                </c:pt>
                <c:pt idx="13">
                  <c:v>482336</c:v>
                </c:pt>
                <c:pt idx="14">
                  <c:v>482336</c:v>
                </c:pt>
                <c:pt idx="15">
                  <c:v>482336</c:v>
                </c:pt>
                <c:pt idx="16">
                  <c:v>547488</c:v>
                </c:pt>
                <c:pt idx="17">
                  <c:v>547488</c:v>
                </c:pt>
                <c:pt idx="18">
                  <c:v>547488</c:v>
                </c:pt>
                <c:pt idx="19">
                  <c:v>547488</c:v>
                </c:pt>
                <c:pt idx="20">
                  <c:v>547488</c:v>
                </c:pt>
                <c:pt idx="21">
                  <c:v>547488</c:v>
                </c:pt>
                <c:pt idx="22">
                  <c:v>547488</c:v>
                </c:pt>
                <c:pt idx="23">
                  <c:v>547488</c:v>
                </c:pt>
                <c:pt idx="24">
                  <c:v>547488</c:v>
                </c:pt>
                <c:pt idx="25">
                  <c:v>547488</c:v>
                </c:pt>
                <c:pt idx="26">
                  <c:v>547488</c:v>
                </c:pt>
                <c:pt idx="27">
                  <c:v>547488</c:v>
                </c:pt>
                <c:pt idx="28">
                  <c:v>547488</c:v>
                </c:pt>
                <c:pt idx="29">
                  <c:v>547488</c:v>
                </c:pt>
                <c:pt idx="30">
                  <c:v>547488</c:v>
                </c:pt>
                <c:pt idx="31">
                  <c:v>547488</c:v>
                </c:pt>
                <c:pt idx="32">
                  <c:v>547488</c:v>
                </c:pt>
                <c:pt idx="33">
                  <c:v>550048</c:v>
                </c:pt>
                <c:pt idx="34">
                  <c:v>550048</c:v>
                </c:pt>
                <c:pt idx="35">
                  <c:v>550048</c:v>
                </c:pt>
                <c:pt idx="36">
                  <c:v>550048</c:v>
                </c:pt>
                <c:pt idx="37">
                  <c:v>550048</c:v>
                </c:pt>
                <c:pt idx="38">
                  <c:v>550048</c:v>
                </c:pt>
                <c:pt idx="39">
                  <c:v>550048</c:v>
                </c:pt>
                <c:pt idx="40">
                  <c:v>550048</c:v>
                </c:pt>
                <c:pt idx="41">
                  <c:v>550048</c:v>
                </c:pt>
                <c:pt idx="42">
                  <c:v>550048</c:v>
                </c:pt>
                <c:pt idx="43">
                  <c:v>550048</c:v>
                </c:pt>
                <c:pt idx="44">
                  <c:v>550048</c:v>
                </c:pt>
                <c:pt idx="45">
                  <c:v>550048</c:v>
                </c:pt>
                <c:pt idx="46">
                  <c:v>550048</c:v>
                </c:pt>
                <c:pt idx="47">
                  <c:v>550048</c:v>
                </c:pt>
                <c:pt idx="48">
                  <c:v>550048</c:v>
                </c:pt>
                <c:pt idx="49">
                  <c:v>550048</c:v>
                </c:pt>
                <c:pt idx="50">
                  <c:v>550048</c:v>
                </c:pt>
                <c:pt idx="51">
                  <c:v>550048</c:v>
                </c:pt>
                <c:pt idx="52">
                  <c:v>550048</c:v>
                </c:pt>
                <c:pt idx="53">
                  <c:v>550048</c:v>
                </c:pt>
                <c:pt idx="54">
                  <c:v>550048</c:v>
                </c:pt>
                <c:pt idx="55">
                  <c:v>550048</c:v>
                </c:pt>
                <c:pt idx="56">
                  <c:v>550048</c:v>
                </c:pt>
                <c:pt idx="57">
                  <c:v>550048</c:v>
                </c:pt>
                <c:pt idx="58">
                  <c:v>550048</c:v>
                </c:pt>
                <c:pt idx="59">
                  <c:v>550048</c:v>
                </c:pt>
                <c:pt idx="60">
                  <c:v>550048</c:v>
                </c:pt>
                <c:pt idx="61">
                  <c:v>550048</c:v>
                </c:pt>
                <c:pt idx="62">
                  <c:v>550048</c:v>
                </c:pt>
                <c:pt idx="63">
                  <c:v>550048</c:v>
                </c:pt>
                <c:pt idx="64">
                  <c:v>550048</c:v>
                </c:pt>
                <c:pt idx="65">
                  <c:v>550048</c:v>
                </c:pt>
                <c:pt idx="66">
                  <c:v>550048</c:v>
                </c:pt>
                <c:pt idx="67">
                  <c:v>550048</c:v>
                </c:pt>
                <c:pt idx="68">
                  <c:v>550048</c:v>
                </c:pt>
                <c:pt idx="69">
                  <c:v>550048</c:v>
                </c:pt>
                <c:pt idx="70">
                  <c:v>550048</c:v>
                </c:pt>
                <c:pt idx="71">
                  <c:v>550048</c:v>
                </c:pt>
                <c:pt idx="72">
                  <c:v>550048</c:v>
                </c:pt>
                <c:pt idx="73">
                  <c:v>550048</c:v>
                </c:pt>
                <c:pt idx="74">
                  <c:v>550048</c:v>
                </c:pt>
                <c:pt idx="75">
                  <c:v>550048</c:v>
                </c:pt>
                <c:pt idx="76">
                  <c:v>550048</c:v>
                </c:pt>
                <c:pt idx="77">
                  <c:v>550048</c:v>
                </c:pt>
                <c:pt idx="78">
                  <c:v>550048</c:v>
                </c:pt>
                <c:pt idx="79">
                  <c:v>550048</c:v>
                </c:pt>
                <c:pt idx="80">
                  <c:v>550048</c:v>
                </c:pt>
                <c:pt idx="81">
                  <c:v>550048</c:v>
                </c:pt>
                <c:pt idx="82">
                  <c:v>550048</c:v>
                </c:pt>
                <c:pt idx="83">
                  <c:v>550048</c:v>
                </c:pt>
                <c:pt idx="84">
                  <c:v>550048</c:v>
                </c:pt>
                <c:pt idx="85">
                  <c:v>550048</c:v>
                </c:pt>
                <c:pt idx="86">
                  <c:v>550048</c:v>
                </c:pt>
                <c:pt idx="87">
                  <c:v>550048</c:v>
                </c:pt>
                <c:pt idx="88">
                  <c:v>550048</c:v>
                </c:pt>
              </c:numCache>
            </c:numRef>
          </c:xVal>
          <c:yVal>
            <c:numRef>
              <c:f>[1]Patriots!$C$2:$C$99</c:f>
              <c:numCache>
                <c:formatCode>General</c:formatCode>
                <c:ptCount val="98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2001</c:v>
                </c:pt>
                <c:pt idx="9">
                  <c:v>2001</c:v>
                </c:pt>
                <c:pt idx="10">
                  <c:v>2001</c:v>
                </c:pt>
                <c:pt idx="11">
                  <c:v>2001</c:v>
                </c:pt>
                <c:pt idx="12">
                  <c:v>2001</c:v>
                </c:pt>
                <c:pt idx="13">
                  <c:v>2001</c:v>
                </c:pt>
                <c:pt idx="14">
                  <c:v>2001</c:v>
                </c:pt>
                <c:pt idx="15">
                  <c:v>2001</c:v>
                </c:pt>
                <c:pt idx="16">
                  <c:v>2002</c:v>
                </c:pt>
                <c:pt idx="17">
                  <c:v>2002</c:v>
                </c:pt>
                <c:pt idx="18">
                  <c:v>2002</c:v>
                </c:pt>
                <c:pt idx="19">
                  <c:v>2002</c:v>
                </c:pt>
                <c:pt idx="20">
                  <c:v>2002</c:v>
                </c:pt>
                <c:pt idx="21">
                  <c:v>2002</c:v>
                </c:pt>
                <c:pt idx="22">
                  <c:v>2002</c:v>
                </c:pt>
                <c:pt idx="23">
                  <c:v>2002</c:v>
                </c:pt>
                <c:pt idx="24">
                  <c:v>2002</c:v>
                </c:pt>
                <c:pt idx="25">
                  <c:v>2003</c:v>
                </c:pt>
                <c:pt idx="26">
                  <c:v>2003</c:v>
                </c:pt>
                <c:pt idx="27">
                  <c:v>2003</c:v>
                </c:pt>
                <c:pt idx="28">
                  <c:v>2003</c:v>
                </c:pt>
                <c:pt idx="29">
                  <c:v>2003</c:v>
                </c:pt>
                <c:pt idx="30">
                  <c:v>2003</c:v>
                </c:pt>
                <c:pt idx="31">
                  <c:v>2003</c:v>
                </c:pt>
                <c:pt idx="32">
                  <c:v>2003</c:v>
                </c:pt>
                <c:pt idx="33">
                  <c:v>2004</c:v>
                </c:pt>
                <c:pt idx="34">
                  <c:v>2004</c:v>
                </c:pt>
                <c:pt idx="35">
                  <c:v>2004</c:v>
                </c:pt>
                <c:pt idx="36">
                  <c:v>2004</c:v>
                </c:pt>
                <c:pt idx="37">
                  <c:v>2004</c:v>
                </c:pt>
                <c:pt idx="38">
                  <c:v>2004</c:v>
                </c:pt>
                <c:pt idx="39">
                  <c:v>2004</c:v>
                </c:pt>
                <c:pt idx="40">
                  <c:v>2004</c:v>
                </c:pt>
                <c:pt idx="41">
                  <c:v>2005</c:v>
                </c:pt>
                <c:pt idx="42">
                  <c:v>2005</c:v>
                </c:pt>
                <c:pt idx="43">
                  <c:v>2005</c:v>
                </c:pt>
                <c:pt idx="44">
                  <c:v>2005</c:v>
                </c:pt>
                <c:pt idx="45">
                  <c:v>2005</c:v>
                </c:pt>
                <c:pt idx="46">
                  <c:v>2005</c:v>
                </c:pt>
                <c:pt idx="47">
                  <c:v>2005</c:v>
                </c:pt>
                <c:pt idx="48">
                  <c:v>2005</c:v>
                </c:pt>
                <c:pt idx="49">
                  <c:v>2006</c:v>
                </c:pt>
                <c:pt idx="50">
                  <c:v>2006</c:v>
                </c:pt>
                <c:pt idx="51">
                  <c:v>2006</c:v>
                </c:pt>
                <c:pt idx="52">
                  <c:v>2006</c:v>
                </c:pt>
                <c:pt idx="53">
                  <c:v>2006</c:v>
                </c:pt>
                <c:pt idx="54">
                  <c:v>2006</c:v>
                </c:pt>
                <c:pt idx="55">
                  <c:v>2006</c:v>
                </c:pt>
                <c:pt idx="56">
                  <c:v>2006</c:v>
                </c:pt>
                <c:pt idx="57">
                  <c:v>2007</c:v>
                </c:pt>
                <c:pt idx="58">
                  <c:v>2007</c:v>
                </c:pt>
                <c:pt idx="59">
                  <c:v>2007</c:v>
                </c:pt>
                <c:pt idx="60">
                  <c:v>2007</c:v>
                </c:pt>
                <c:pt idx="61">
                  <c:v>2007</c:v>
                </c:pt>
                <c:pt idx="62">
                  <c:v>2007</c:v>
                </c:pt>
                <c:pt idx="63">
                  <c:v>2007</c:v>
                </c:pt>
                <c:pt idx="64">
                  <c:v>2007</c:v>
                </c:pt>
                <c:pt idx="65">
                  <c:v>2008</c:v>
                </c:pt>
                <c:pt idx="66">
                  <c:v>2008</c:v>
                </c:pt>
                <c:pt idx="67">
                  <c:v>2008</c:v>
                </c:pt>
                <c:pt idx="68">
                  <c:v>2008</c:v>
                </c:pt>
                <c:pt idx="69">
                  <c:v>2008</c:v>
                </c:pt>
                <c:pt idx="70">
                  <c:v>2008</c:v>
                </c:pt>
                <c:pt idx="71">
                  <c:v>2008</c:v>
                </c:pt>
                <c:pt idx="72">
                  <c:v>2008</c:v>
                </c:pt>
                <c:pt idx="73">
                  <c:v>2009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2009</c:v>
                </c:pt>
                <c:pt idx="81">
                  <c:v>2010</c:v>
                </c:pt>
                <c:pt idx="82">
                  <c:v>2010</c:v>
                </c:pt>
                <c:pt idx="83">
                  <c:v>2010</c:v>
                </c:pt>
                <c:pt idx="84">
                  <c:v>2010</c:v>
                </c:pt>
                <c:pt idx="85">
                  <c:v>2010</c:v>
                </c:pt>
                <c:pt idx="86">
                  <c:v>2010</c:v>
                </c:pt>
                <c:pt idx="87">
                  <c:v>2010</c:v>
                </c:pt>
                <c:pt idx="88">
                  <c:v>2010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F2-A047-B7DF-A9D5FDB4E6CD}"/>
            </c:ext>
          </c:extLst>
        </c:ser>
        <c:ser>
          <c:idx val="1"/>
          <c:order val="1"/>
          <c:tx>
            <c:v>Predicted year</c:v>
          </c:tx>
          <c:spPr>
            <a:ln w="19050">
              <a:noFill/>
            </a:ln>
          </c:spPr>
          <c:xVal>
            <c:numRef>
              <c:f>[1]Patriots!$E$2:$E$99</c:f>
              <c:numCache>
                <c:formatCode>General</c:formatCode>
                <c:ptCount val="98"/>
                <c:pt idx="0">
                  <c:v>482336</c:v>
                </c:pt>
                <c:pt idx="1">
                  <c:v>482336</c:v>
                </c:pt>
                <c:pt idx="2">
                  <c:v>482336</c:v>
                </c:pt>
                <c:pt idx="3">
                  <c:v>482336</c:v>
                </c:pt>
                <c:pt idx="4">
                  <c:v>482336</c:v>
                </c:pt>
                <c:pt idx="5">
                  <c:v>482336</c:v>
                </c:pt>
                <c:pt idx="6">
                  <c:v>482336</c:v>
                </c:pt>
                <c:pt idx="7">
                  <c:v>482336</c:v>
                </c:pt>
                <c:pt idx="8">
                  <c:v>482336</c:v>
                </c:pt>
                <c:pt idx="9">
                  <c:v>482336</c:v>
                </c:pt>
                <c:pt idx="10">
                  <c:v>482336</c:v>
                </c:pt>
                <c:pt idx="11">
                  <c:v>482336</c:v>
                </c:pt>
                <c:pt idx="12">
                  <c:v>482336</c:v>
                </c:pt>
                <c:pt idx="13">
                  <c:v>482336</c:v>
                </c:pt>
                <c:pt idx="14">
                  <c:v>482336</c:v>
                </c:pt>
                <c:pt idx="15">
                  <c:v>482336</c:v>
                </c:pt>
                <c:pt idx="16">
                  <c:v>547488</c:v>
                </c:pt>
                <c:pt idx="17">
                  <c:v>547488</c:v>
                </c:pt>
                <c:pt idx="18">
                  <c:v>547488</c:v>
                </c:pt>
                <c:pt idx="19">
                  <c:v>547488</c:v>
                </c:pt>
                <c:pt idx="20">
                  <c:v>547488</c:v>
                </c:pt>
                <c:pt idx="21">
                  <c:v>547488</c:v>
                </c:pt>
                <c:pt idx="22">
                  <c:v>547488</c:v>
                </c:pt>
                <c:pt idx="23">
                  <c:v>547488</c:v>
                </c:pt>
                <c:pt idx="24">
                  <c:v>547488</c:v>
                </c:pt>
                <c:pt idx="25">
                  <c:v>547488</c:v>
                </c:pt>
                <c:pt idx="26">
                  <c:v>547488</c:v>
                </c:pt>
                <c:pt idx="27">
                  <c:v>547488</c:v>
                </c:pt>
                <c:pt idx="28">
                  <c:v>547488</c:v>
                </c:pt>
                <c:pt idx="29">
                  <c:v>547488</c:v>
                </c:pt>
                <c:pt idx="30">
                  <c:v>547488</c:v>
                </c:pt>
                <c:pt idx="31">
                  <c:v>547488</c:v>
                </c:pt>
                <c:pt idx="32">
                  <c:v>547488</c:v>
                </c:pt>
                <c:pt idx="33">
                  <c:v>550048</c:v>
                </c:pt>
                <c:pt idx="34">
                  <c:v>550048</c:v>
                </c:pt>
                <c:pt idx="35">
                  <c:v>550048</c:v>
                </c:pt>
                <c:pt idx="36">
                  <c:v>550048</c:v>
                </c:pt>
                <c:pt idx="37">
                  <c:v>550048</c:v>
                </c:pt>
                <c:pt idx="38">
                  <c:v>550048</c:v>
                </c:pt>
                <c:pt idx="39">
                  <c:v>550048</c:v>
                </c:pt>
                <c:pt idx="40">
                  <c:v>550048</c:v>
                </c:pt>
                <c:pt idx="41">
                  <c:v>550048</c:v>
                </c:pt>
                <c:pt idx="42">
                  <c:v>550048</c:v>
                </c:pt>
                <c:pt idx="43">
                  <c:v>550048</c:v>
                </c:pt>
                <c:pt idx="44">
                  <c:v>550048</c:v>
                </c:pt>
                <c:pt idx="45">
                  <c:v>550048</c:v>
                </c:pt>
                <c:pt idx="46">
                  <c:v>550048</c:v>
                </c:pt>
                <c:pt idx="47">
                  <c:v>550048</c:v>
                </c:pt>
                <c:pt idx="48">
                  <c:v>550048</c:v>
                </c:pt>
                <c:pt idx="49">
                  <c:v>550048</c:v>
                </c:pt>
                <c:pt idx="50">
                  <c:v>550048</c:v>
                </c:pt>
                <c:pt idx="51">
                  <c:v>550048</c:v>
                </c:pt>
                <c:pt idx="52">
                  <c:v>550048</c:v>
                </c:pt>
                <c:pt idx="53">
                  <c:v>550048</c:v>
                </c:pt>
                <c:pt idx="54">
                  <c:v>550048</c:v>
                </c:pt>
                <c:pt idx="55">
                  <c:v>550048</c:v>
                </c:pt>
                <c:pt idx="56">
                  <c:v>550048</c:v>
                </c:pt>
                <c:pt idx="57">
                  <c:v>550048</c:v>
                </c:pt>
                <c:pt idx="58">
                  <c:v>550048</c:v>
                </c:pt>
                <c:pt idx="59">
                  <c:v>550048</c:v>
                </c:pt>
                <c:pt idx="60">
                  <c:v>550048</c:v>
                </c:pt>
                <c:pt idx="61">
                  <c:v>550048</c:v>
                </c:pt>
                <c:pt idx="62">
                  <c:v>550048</c:v>
                </c:pt>
                <c:pt idx="63">
                  <c:v>550048</c:v>
                </c:pt>
                <c:pt idx="64">
                  <c:v>550048</c:v>
                </c:pt>
                <c:pt idx="65">
                  <c:v>550048</c:v>
                </c:pt>
                <c:pt idx="66">
                  <c:v>550048</c:v>
                </c:pt>
                <c:pt idx="67">
                  <c:v>550048</c:v>
                </c:pt>
                <c:pt idx="68">
                  <c:v>550048</c:v>
                </c:pt>
                <c:pt idx="69">
                  <c:v>550048</c:v>
                </c:pt>
                <c:pt idx="70">
                  <c:v>550048</c:v>
                </c:pt>
                <c:pt idx="71">
                  <c:v>550048</c:v>
                </c:pt>
                <c:pt idx="72">
                  <c:v>550048</c:v>
                </c:pt>
                <c:pt idx="73">
                  <c:v>550048</c:v>
                </c:pt>
                <c:pt idx="74">
                  <c:v>550048</c:v>
                </c:pt>
                <c:pt idx="75">
                  <c:v>550048</c:v>
                </c:pt>
                <c:pt idx="76">
                  <c:v>550048</c:v>
                </c:pt>
                <c:pt idx="77">
                  <c:v>550048</c:v>
                </c:pt>
                <c:pt idx="78">
                  <c:v>550048</c:v>
                </c:pt>
                <c:pt idx="79">
                  <c:v>550048</c:v>
                </c:pt>
                <c:pt idx="80">
                  <c:v>550048</c:v>
                </c:pt>
                <c:pt idx="81">
                  <c:v>550048</c:v>
                </c:pt>
                <c:pt idx="82">
                  <c:v>550048</c:v>
                </c:pt>
                <c:pt idx="83">
                  <c:v>550048</c:v>
                </c:pt>
                <c:pt idx="84">
                  <c:v>550048</c:v>
                </c:pt>
                <c:pt idx="85">
                  <c:v>550048</c:v>
                </c:pt>
                <c:pt idx="86">
                  <c:v>550048</c:v>
                </c:pt>
                <c:pt idx="87">
                  <c:v>550048</c:v>
                </c:pt>
                <c:pt idx="88">
                  <c:v>550048</c:v>
                </c:pt>
              </c:numCache>
            </c:numRef>
          </c:xVal>
          <c:yVal>
            <c:numRef>
              <c:f>[1]Patriots!$O$56:$O$241</c:f>
              <c:numCache>
                <c:formatCode>General</c:formatCode>
                <c:ptCount val="186"/>
                <c:pt idx="0">
                  <c:v>2000.3739017649511</c:v>
                </c:pt>
                <c:pt idx="1">
                  <c:v>2000.3739017649511</c:v>
                </c:pt>
                <c:pt idx="2">
                  <c:v>2000.3739017649511</c:v>
                </c:pt>
                <c:pt idx="3">
                  <c:v>2000.3739017649511</c:v>
                </c:pt>
                <c:pt idx="4">
                  <c:v>2000.3739017649511</c:v>
                </c:pt>
                <c:pt idx="5">
                  <c:v>2000.3739017649511</c:v>
                </c:pt>
                <c:pt idx="6">
                  <c:v>2000.3739017649511</c:v>
                </c:pt>
                <c:pt idx="7">
                  <c:v>2000.3739017649511</c:v>
                </c:pt>
                <c:pt idx="8">
                  <c:v>2000.3739017649511</c:v>
                </c:pt>
                <c:pt idx="9">
                  <c:v>2000.3739017649511</c:v>
                </c:pt>
                <c:pt idx="10">
                  <c:v>2000.3739017649511</c:v>
                </c:pt>
                <c:pt idx="11">
                  <c:v>2000.3739017649511</c:v>
                </c:pt>
                <c:pt idx="12">
                  <c:v>2000.3739017649511</c:v>
                </c:pt>
                <c:pt idx="13">
                  <c:v>2000.3739017649511</c:v>
                </c:pt>
                <c:pt idx="14">
                  <c:v>2000.3739017649511</c:v>
                </c:pt>
                <c:pt idx="15">
                  <c:v>2000.3739017649511</c:v>
                </c:pt>
                <c:pt idx="16">
                  <c:v>2000.3739017649511</c:v>
                </c:pt>
                <c:pt idx="17">
                  <c:v>2000.3739017649511</c:v>
                </c:pt>
                <c:pt idx="18">
                  <c:v>2000.3739017649511</c:v>
                </c:pt>
                <c:pt idx="19">
                  <c:v>2000.3739017649511</c:v>
                </c:pt>
                <c:pt idx="20">
                  <c:v>2000.3739017649511</c:v>
                </c:pt>
                <c:pt idx="21">
                  <c:v>2000.3739017649511</c:v>
                </c:pt>
                <c:pt idx="22">
                  <c:v>2000.3739017649511</c:v>
                </c:pt>
                <c:pt idx="23">
                  <c:v>2000.3739017649511</c:v>
                </c:pt>
                <c:pt idx="24">
                  <c:v>2000.3739017649511</c:v>
                </c:pt>
                <c:pt idx="25">
                  <c:v>2000.3739017649511</c:v>
                </c:pt>
                <c:pt idx="26">
                  <c:v>2000.3739017649511</c:v>
                </c:pt>
                <c:pt idx="27">
                  <c:v>2000.3739017649511</c:v>
                </c:pt>
                <c:pt idx="28">
                  <c:v>2000.3739017649511</c:v>
                </c:pt>
                <c:pt idx="29">
                  <c:v>2000.3739017649511</c:v>
                </c:pt>
                <c:pt idx="30">
                  <c:v>2000.3739017649511</c:v>
                </c:pt>
                <c:pt idx="31">
                  <c:v>2000.3739017649511</c:v>
                </c:pt>
                <c:pt idx="32">
                  <c:v>2000.3739017649511</c:v>
                </c:pt>
                <c:pt idx="33">
                  <c:v>2000.3739017649511</c:v>
                </c:pt>
                <c:pt idx="34">
                  <c:v>2005.835298317041</c:v>
                </c:pt>
                <c:pt idx="35">
                  <c:v>2005.835298317041</c:v>
                </c:pt>
                <c:pt idx="36">
                  <c:v>2005.835298317041</c:v>
                </c:pt>
                <c:pt idx="37">
                  <c:v>2005.835298317041</c:v>
                </c:pt>
                <c:pt idx="38">
                  <c:v>2005.835298317041</c:v>
                </c:pt>
                <c:pt idx="39">
                  <c:v>2005.835298317041</c:v>
                </c:pt>
                <c:pt idx="40">
                  <c:v>2005.835298317041</c:v>
                </c:pt>
                <c:pt idx="41">
                  <c:v>2005.835298317041</c:v>
                </c:pt>
                <c:pt idx="42">
                  <c:v>2005.835298317041</c:v>
                </c:pt>
                <c:pt idx="43">
                  <c:v>2005.835298317041</c:v>
                </c:pt>
                <c:pt idx="44">
                  <c:v>2005.835298317041</c:v>
                </c:pt>
                <c:pt idx="45">
                  <c:v>2005.835298317041</c:v>
                </c:pt>
                <c:pt idx="46">
                  <c:v>2005.835298317041</c:v>
                </c:pt>
                <c:pt idx="47">
                  <c:v>2005.835298317041</c:v>
                </c:pt>
                <c:pt idx="48">
                  <c:v>2005.835298317041</c:v>
                </c:pt>
                <c:pt idx="49">
                  <c:v>2005.835298317041</c:v>
                </c:pt>
                <c:pt idx="50">
                  <c:v>2005.835298317041</c:v>
                </c:pt>
                <c:pt idx="51">
                  <c:v>2005.835298317041</c:v>
                </c:pt>
                <c:pt idx="52">
                  <c:v>2005.835298317041</c:v>
                </c:pt>
                <c:pt idx="53">
                  <c:v>2005.835298317041</c:v>
                </c:pt>
                <c:pt idx="54">
                  <c:v>2005.835298317041</c:v>
                </c:pt>
                <c:pt idx="55">
                  <c:v>2005.835298317041</c:v>
                </c:pt>
                <c:pt idx="56">
                  <c:v>2005.835298317041</c:v>
                </c:pt>
                <c:pt idx="57">
                  <c:v>2005.835298317041</c:v>
                </c:pt>
                <c:pt idx="58">
                  <c:v>2005.835298317041</c:v>
                </c:pt>
                <c:pt idx="59">
                  <c:v>2005.835298317041</c:v>
                </c:pt>
                <c:pt idx="60">
                  <c:v>2005.835298317041</c:v>
                </c:pt>
                <c:pt idx="61">
                  <c:v>2005.835298317041</c:v>
                </c:pt>
                <c:pt idx="62">
                  <c:v>2005.835298317041</c:v>
                </c:pt>
                <c:pt idx="63">
                  <c:v>2005.835298317041</c:v>
                </c:pt>
                <c:pt idx="64">
                  <c:v>2005.835298317041</c:v>
                </c:pt>
                <c:pt idx="65">
                  <c:v>2005.835298317041</c:v>
                </c:pt>
                <c:pt idx="66">
                  <c:v>2005.835298317041</c:v>
                </c:pt>
                <c:pt idx="67">
                  <c:v>2005.835298317041</c:v>
                </c:pt>
                <c:pt idx="68">
                  <c:v>2006.0498915017988</c:v>
                </c:pt>
                <c:pt idx="69">
                  <c:v>2006.0498915017988</c:v>
                </c:pt>
                <c:pt idx="70">
                  <c:v>2006.0498915017988</c:v>
                </c:pt>
                <c:pt idx="71">
                  <c:v>2006.0498915017988</c:v>
                </c:pt>
                <c:pt idx="72">
                  <c:v>2006.0498915017988</c:v>
                </c:pt>
                <c:pt idx="73">
                  <c:v>2006.0498915017988</c:v>
                </c:pt>
                <c:pt idx="74">
                  <c:v>2006.0498915017988</c:v>
                </c:pt>
                <c:pt idx="75">
                  <c:v>2006.0498915017988</c:v>
                </c:pt>
                <c:pt idx="76">
                  <c:v>2006.0498915017988</c:v>
                </c:pt>
                <c:pt idx="77">
                  <c:v>2006.0498915017988</c:v>
                </c:pt>
                <c:pt idx="78">
                  <c:v>2006.0498915017988</c:v>
                </c:pt>
                <c:pt idx="79">
                  <c:v>2006.0498915017988</c:v>
                </c:pt>
                <c:pt idx="80">
                  <c:v>2006.0498915017988</c:v>
                </c:pt>
                <c:pt idx="81">
                  <c:v>2006.0498915017988</c:v>
                </c:pt>
                <c:pt idx="82">
                  <c:v>2006.0498915017988</c:v>
                </c:pt>
                <c:pt idx="83">
                  <c:v>2006.0498915017988</c:v>
                </c:pt>
                <c:pt idx="84">
                  <c:v>2006.0498915017988</c:v>
                </c:pt>
                <c:pt idx="85">
                  <c:v>2006.0498915017988</c:v>
                </c:pt>
                <c:pt idx="86">
                  <c:v>2006.0498915017988</c:v>
                </c:pt>
                <c:pt idx="87">
                  <c:v>2006.0498915017988</c:v>
                </c:pt>
                <c:pt idx="88">
                  <c:v>2006.0498915017988</c:v>
                </c:pt>
                <c:pt idx="89">
                  <c:v>2006.0498915017988</c:v>
                </c:pt>
                <c:pt idx="90">
                  <c:v>2006.0498915017988</c:v>
                </c:pt>
                <c:pt idx="91">
                  <c:v>2006.0498915017988</c:v>
                </c:pt>
                <c:pt idx="92">
                  <c:v>2006.0498915017988</c:v>
                </c:pt>
                <c:pt idx="93">
                  <c:v>2006.0498915017988</c:v>
                </c:pt>
                <c:pt idx="94">
                  <c:v>2006.0498915017988</c:v>
                </c:pt>
                <c:pt idx="95">
                  <c:v>2006.0498915017988</c:v>
                </c:pt>
                <c:pt idx="96">
                  <c:v>2006.0498915017988</c:v>
                </c:pt>
                <c:pt idx="97">
                  <c:v>2006.0498915017988</c:v>
                </c:pt>
                <c:pt idx="98">
                  <c:v>2006.0498915017988</c:v>
                </c:pt>
                <c:pt idx="99">
                  <c:v>2006.0498915017988</c:v>
                </c:pt>
                <c:pt idx="100">
                  <c:v>2006.0498915017988</c:v>
                </c:pt>
                <c:pt idx="101">
                  <c:v>2006.0498915017988</c:v>
                </c:pt>
                <c:pt idx="102">
                  <c:v>2006.0498915017988</c:v>
                </c:pt>
                <c:pt idx="103">
                  <c:v>2006.0498915017988</c:v>
                </c:pt>
                <c:pt idx="104">
                  <c:v>2006.0498915017988</c:v>
                </c:pt>
                <c:pt idx="105">
                  <c:v>2006.0498915017988</c:v>
                </c:pt>
                <c:pt idx="106">
                  <c:v>2006.0498915017988</c:v>
                </c:pt>
                <c:pt idx="107">
                  <c:v>2006.0498915017988</c:v>
                </c:pt>
                <c:pt idx="108">
                  <c:v>2006.0498915017988</c:v>
                </c:pt>
                <c:pt idx="109">
                  <c:v>2006.0498915017988</c:v>
                </c:pt>
                <c:pt idx="110">
                  <c:v>2006.0498915017988</c:v>
                </c:pt>
                <c:pt idx="111">
                  <c:v>2006.0498915017988</c:v>
                </c:pt>
                <c:pt idx="112">
                  <c:v>2006.0498915017988</c:v>
                </c:pt>
                <c:pt idx="113">
                  <c:v>2006.0498915017988</c:v>
                </c:pt>
                <c:pt idx="114">
                  <c:v>2006.0498915017988</c:v>
                </c:pt>
                <c:pt idx="115">
                  <c:v>2006.0498915017988</c:v>
                </c:pt>
                <c:pt idx="116">
                  <c:v>2006.0498915017988</c:v>
                </c:pt>
                <c:pt idx="117">
                  <c:v>2006.0498915017988</c:v>
                </c:pt>
                <c:pt idx="118">
                  <c:v>2006.0498915017988</c:v>
                </c:pt>
                <c:pt idx="119">
                  <c:v>2006.0498915017988</c:v>
                </c:pt>
                <c:pt idx="120">
                  <c:v>2006.0498915017988</c:v>
                </c:pt>
                <c:pt idx="121">
                  <c:v>2006.0498915017988</c:v>
                </c:pt>
                <c:pt idx="122">
                  <c:v>2006.0498915017988</c:v>
                </c:pt>
                <c:pt idx="123">
                  <c:v>2006.0498915017988</c:v>
                </c:pt>
                <c:pt idx="124">
                  <c:v>2006.0498915017988</c:v>
                </c:pt>
                <c:pt idx="125">
                  <c:v>2006.0498915017988</c:v>
                </c:pt>
                <c:pt idx="126">
                  <c:v>2006.0498915017988</c:v>
                </c:pt>
                <c:pt idx="127">
                  <c:v>2006.0498915017988</c:v>
                </c:pt>
                <c:pt idx="128">
                  <c:v>2006.0498915017988</c:v>
                </c:pt>
                <c:pt idx="129">
                  <c:v>2006.0498915017988</c:v>
                </c:pt>
                <c:pt idx="130">
                  <c:v>2006.0498915017988</c:v>
                </c:pt>
                <c:pt idx="131">
                  <c:v>2006.0498915017988</c:v>
                </c:pt>
                <c:pt idx="132">
                  <c:v>2006.0498915017988</c:v>
                </c:pt>
                <c:pt idx="133">
                  <c:v>2006.0498915017988</c:v>
                </c:pt>
                <c:pt idx="134">
                  <c:v>2006.0498915017988</c:v>
                </c:pt>
                <c:pt idx="135">
                  <c:v>2006.0498915017988</c:v>
                </c:pt>
                <c:pt idx="136">
                  <c:v>2006.0498915017988</c:v>
                </c:pt>
                <c:pt idx="137">
                  <c:v>2006.0498915017988</c:v>
                </c:pt>
                <c:pt idx="138">
                  <c:v>2006.0498915017988</c:v>
                </c:pt>
                <c:pt idx="139">
                  <c:v>2006.0498915017988</c:v>
                </c:pt>
                <c:pt idx="140">
                  <c:v>2006.0498915017988</c:v>
                </c:pt>
                <c:pt idx="141">
                  <c:v>2006.0498915017988</c:v>
                </c:pt>
                <c:pt idx="142">
                  <c:v>2006.0498915017988</c:v>
                </c:pt>
                <c:pt idx="143">
                  <c:v>2006.0498915017988</c:v>
                </c:pt>
                <c:pt idx="144">
                  <c:v>2006.0498915017988</c:v>
                </c:pt>
                <c:pt idx="145">
                  <c:v>2006.0498915017988</c:v>
                </c:pt>
                <c:pt idx="146">
                  <c:v>2006.0498915017988</c:v>
                </c:pt>
                <c:pt idx="147">
                  <c:v>2006.0498915017988</c:v>
                </c:pt>
                <c:pt idx="148">
                  <c:v>2006.0498915017988</c:v>
                </c:pt>
                <c:pt idx="149">
                  <c:v>2006.0498915017988</c:v>
                </c:pt>
                <c:pt idx="150">
                  <c:v>2006.0498915017988</c:v>
                </c:pt>
                <c:pt idx="151">
                  <c:v>2006.0498915017988</c:v>
                </c:pt>
                <c:pt idx="152">
                  <c:v>2006.0498915017988</c:v>
                </c:pt>
                <c:pt idx="153">
                  <c:v>2006.0498915017988</c:v>
                </c:pt>
                <c:pt idx="154">
                  <c:v>2006.0498915017988</c:v>
                </c:pt>
                <c:pt idx="155">
                  <c:v>2006.0498915017988</c:v>
                </c:pt>
                <c:pt idx="156">
                  <c:v>2006.0498915017988</c:v>
                </c:pt>
                <c:pt idx="157">
                  <c:v>2006.0498915017988</c:v>
                </c:pt>
                <c:pt idx="158">
                  <c:v>2006.0498915017988</c:v>
                </c:pt>
                <c:pt idx="159">
                  <c:v>2006.0498915017988</c:v>
                </c:pt>
                <c:pt idx="160">
                  <c:v>2006.0498915017988</c:v>
                </c:pt>
                <c:pt idx="161">
                  <c:v>2006.0498915017988</c:v>
                </c:pt>
                <c:pt idx="162">
                  <c:v>2006.0498915017988</c:v>
                </c:pt>
                <c:pt idx="163">
                  <c:v>2006.0498915017988</c:v>
                </c:pt>
                <c:pt idx="164">
                  <c:v>2006.0498915017988</c:v>
                </c:pt>
                <c:pt idx="165">
                  <c:v>2006.0498915017988</c:v>
                </c:pt>
                <c:pt idx="166">
                  <c:v>2006.0498915017988</c:v>
                </c:pt>
                <c:pt idx="167">
                  <c:v>2006.0498915017988</c:v>
                </c:pt>
                <c:pt idx="168">
                  <c:v>2006.0498915017988</c:v>
                </c:pt>
                <c:pt idx="169">
                  <c:v>2006.0498915017988</c:v>
                </c:pt>
                <c:pt idx="170">
                  <c:v>2006.0498915017988</c:v>
                </c:pt>
                <c:pt idx="171">
                  <c:v>2006.0498915017988</c:v>
                </c:pt>
                <c:pt idx="172">
                  <c:v>2006.0498915017988</c:v>
                </c:pt>
                <c:pt idx="173">
                  <c:v>2006.0498915017988</c:v>
                </c:pt>
                <c:pt idx="174">
                  <c:v>2006.0498915017988</c:v>
                </c:pt>
                <c:pt idx="175">
                  <c:v>2006.0498915017988</c:v>
                </c:pt>
                <c:pt idx="176">
                  <c:v>2006.0498915017988</c:v>
                </c:pt>
                <c:pt idx="177">
                  <c:v>2006.0498915017988</c:v>
                </c:pt>
                <c:pt idx="178">
                  <c:v>2006.0498915017988</c:v>
                </c:pt>
                <c:pt idx="179">
                  <c:v>2006.0498915017988</c:v>
                </c:pt>
                <c:pt idx="180">
                  <c:v>2006.0498915017988</c:v>
                </c:pt>
                <c:pt idx="181">
                  <c:v>2006.0498915017988</c:v>
                </c:pt>
                <c:pt idx="182">
                  <c:v>2006.0498915017988</c:v>
                </c:pt>
                <c:pt idx="183">
                  <c:v>2006.0498915017988</c:v>
                </c:pt>
                <c:pt idx="184">
                  <c:v>2006.0498915017988</c:v>
                </c:pt>
                <c:pt idx="185">
                  <c:v>2006.0498915017988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F2-A047-B7DF-A9D5FDB4E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04687"/>
        <c:axId val="56825311"/>
      </c:scatterChart>
      <c:valAx>
        <c:axId val="5680468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825311"/>
        <c:crosses val="autoZero"/>
        <c:crossBetween val="midCat"/>
      </c:valAx>
      <c:valAx>
        <c:axId val="5682531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680468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Lions</a:t>
            </a:r>
            <a:r>
              <a:rPr lang="en-US" baseline="0"/>
              <a:t> H</a:t>
            </a:r>
            <a:r>
              <a:rPr lang="en-US"/>
              <a:t>ome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year</c:v>
          </c:tx>
          <c:spPr>
            <a:ln w="19050">
              <a:noFill/>
            </a:ln>
          </c:spPr>
          <c:xVal>
            <c:numRef>
              <c:f>[1]Lions!$E$2:$E$90</c:f>
              <c:numCache>
                <c:formatCode>General</c:formatCode>
                <c:ptCount val="89"/>
                <c:pt idx="0">
                  <c:v>607076</c:v>
                </c:pt>
                <c:pt idx="1">
                  <c:v>607076</c:v>
                </c:pt>
                <c:pt idx="2">
                  <c:v>607076</c:v>
                </c:pt>
                <c:pt idx="3">
                  <c:v>607076</c:v>
                </c:pt>
                <c:pt idx="4">
                  <c:v>607076</c:v>
                </c:pt>
                <c:pt idx="5">
                  <c:v>607076</c:v>
                </c:pt>
                <c:pt idx="6">
                  <c:v>607076</c:v>
                </c:pt>
                <c:pt idx="7">
                  <c:v>607076</c:v>
                </c:pt>
                <c:pt idx="8">
                  <c:v>601815</c:v>
                </c:pt>
                <c:pt idx="9">
                  <c:v>601815</c:v>
                </c:pt>
                <c:pt idx="10">
                  <c:v>601815</c:v>
                </c:pt>
                <c:pt idx="11">
                  <c:v>601815</c:v>
                </c:pt>
                <c:pt idx="12">
                  <c:v>601815</c:v>
                </c:pt>
                <c:pt idx="13">
                  <c:v>601815</c:v>
                </c:pt>
                <c:pt idx="14">
                  <c:v>601815</c:v>
                </c:pt>
                <c:pt idx="15">
                  <c:v>601815</c:v>
                </c:pt>
                <c:pt idx="16">
                  <c:v>489742</c:v>
                </c:pt>
                <c:pt idx="17">
                  <c:v>489742</c:v>
                </c:pt>
                <c:pt idx="18">
                  <c:v>489742</c:v>
                </c:pt>
                <c:pt idx="19">
                  <c:v>489742</c:v>
                </c:pt>
                <c:pt idx="20">
                  <c:v>489742</c:v>
                </c:pt>
                <c:pt idx="21">
                  <c:v>489742</c:v>
                </c:pt>
                <c:pt idx="22">
                  <c:v>489742</c:v>
                </c:pt>
                <c:pt idx="23">
                  <c:v>489742</c:v>
                </c:pt>
                <c:pt idx="24">
                  <c:v>490442</c:v>
                </c:pt>
                <c:pt idx="25">
                  <c:v>490442</c:v>
                </c:pt>
                <c:pt idx="26">
                  <c:v>490442</c:v>
                </c:pt>
                <c:pt idx="27">
                  <c:v>490442</c:v>
                </c:pt>
                <c:pt idx="28">
                  <c:v>490442</c:v>
                </c:pt>
                <c:pt idx="29">
                  <c:v>490442</c:v>
                </c:pt>
                <c:pt idx="30">
                  <c:v>490442</c:v>
                </c:pt>
                <c:pt idx="31">
                  <c:v>490442</c:v>
                </c:pt>
                <c:pt idx="32">
                  <c:v>499162</c:v>
                </c:pt>
                <c:pt idx="33">
                  <c:v>499162</c:v>
                </c:pt>
                <c:pt idx="34">
                  <c:v>499162</c:v>
                </c:pt>
                <c:pt idx="35">
                  <c:v>499162</c:v>
                </c:pt>
                <c:pt idx="36">
                  <c:v>499162</c:v>
                </c:pt>
                <c:pt idx="37">
                  <c:v>499162</c:v>
                </c:pt>
                <c:pt idx="38">
                  <c:v>499162</c:v>
                </c:pt>
                <c:pt idx="39">
                  <c:v>499162</c:v>
                </c:pt>
                <c:pt idx="40">
                  <c:v>492580</c:v>
                </c:pt>
                <c:pt idx="41">
                  <c:v>492580</c:v>
                </c:pt>
                <c:pt idx="42">
                  <c:v>492580</c:v>
                </c:pt>
                <c:pt idx="43">
                  <c:v>492580</c:v>
                </c:pt>
                <c:pt idx="44">
                  <c:v>492580</c:v>
                </c:pt>
                <c:pt idx="45">
                  <c:v>492580</c:v>
                </c:pt>
                <c:pt idx="46">
                  <c:v>492580</c:v>
                </c:pt>
                <c:pt idx="47">
                  <c:v>492580</c:v>
                </c:pt>
                <c:pt idx="48">
                  <c:v>487116</c:v>
                </c:pt>
                <c:pt idx="49">
                  <c:v>487116</c:v>
                </c:pt>
                <c:pt idx="50">
                  <c:v>487116</c:v>
                </c:pt>
                <c:pt idx="51">
                  <c:v>487116</c:v>
                </c:pt>
                <c:pt idx="52">
                  <c:v>487116</c:v>
                </c:pt>
                <c:pt idx="53">
                  <c:v>487116</c:v>
                </c:pt>
                <c:pt idx="54">
                  <c:v>487116</c:v>
                </c:pt>
                <c:pt idx="55">
                  <c:v>487116</c:v>
                </c:pt>
                <c:pt idx="56">
                  <c:v>490436</c:v>
                </c:pt>
                <c:pt idx="57">
                  <c:v>490436</c:v>
                </c:pt>
                <c:pt idx="58">
                  <c:v>490436</c:v>
                </c:pt>
                <c:pt idx="59">
                  <c:v>490436</c:v>
                </c:pt>
                <c:pt idx="60">
                  <c:v>490436</c:v>
                </c:pt>
                <c:pt idx="61">
                  <c:v>490436</c:v>
                </c:pt>
                <c:pt idx="62">
                  <c:v>490436</c:v>
                </c:pt>
                <c:pt idx="63">
                  <c:v>490436</c:v>
                </c:pt>
                <c:pt idx="64">
                  <c:v>435979</c:v>
                </c:pt>
                <c:pt idx="65">
                  <c:v>435979</c:v>
                </c:pt>
                <c:pt idx="66">
                  <c:v>435979</c:v>
                </c:pt>
                <c:pt idx="67">
                  <c:v>435979</c:v>
                </c:pt>
                <c:pt idx="68">
                  <c:v>435979</c:v>
                </c:pt>
                <c:pt idx="69">
                  <c:v>435979</c:v>
                </c:pt>
                <c:pt idx="70">
                  <c:v>435979</c:v>
                </c:pt>
                <c:pt idx="71">
                  <c:v>435979</c:v>
                </c:pt>
                <c:pt idx="72">
                  <c:v>395162</c:v>
                </c:pt>
                <c:pt idx="73">
                  <c:v>395162</c:v>
                </c:pt>
                <c:pt idx="74">
                  <c:v>395162</c:v>
                </c:pt>
                <c:pt idx="75">
                  <c:v>395162</c:v>
                </c:pt>
                <c:pt idx="76">
                  <c:v>395162</c:v>
                </c:pt>
                <c:pt idx="77">
                  <c:v>395162</c:v>
                </c:pt>
                <c:pt idx="78">
                  <c:v>395162</c:v>
                </c:pt>
                <c:pt idx="79">
                  <c:v>395162</c:v>
                </c:pt>
                <c:pt idx="80">
                  <c:v>450286</c:v>
                </c:pt>
                <c:pt idx="81">
                  <c:v>450286</c:v>
                </c:pt>
                <c:pt idx="82">
                  <c:v>450286</c:v>
                </c:pt>
                <c:pt idx="83">
                  <c:v>450286</c:v>
                </c:pt>
                <c:pt idx="84">
                  <c:v>450286</c:v>
                </c:pt>
                <c:pt idx="85">
                  <c:v>450286</c:v>
                </c:pt>
                <c:pt idx="86">
                  <c:v>450286</c:v>
                </c:pt>
                <c:pt idx="87">
                  <c:v>450286</c:v>
                </c:pt>
              </c:numCache>
            </c:numRef>
          </c:xVal>
          <c:yVal>
            <c:numRef>
              <c:f>[1]Lions!$C$2:$C$90</c:f>
              <c:numCache>
                <c:formatCode>General</c:formatCode>
                <c:ptCount val="89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2001</c:v>
                </c:pt>
                <c:pt idx="9">
                  <c:v>2001</c:v>
                </c:pt>
                <c:pt idx="10">
                  <c:v>2001</c:v>
                </c:pt>
                <c:pt idx="11">
                  <c:v>2001</c:v>
                </c:pt>
                <c:pt idx="12">
                  <c:v>2001</c:v>
                </c:pt>
                <c:pt idx="13">
                  <c:v>2001</c:v>
                </c:pt>
                <c:pt idx="14">
                  <c:v>2001</c:v>
                </c:pt>
                <c:pt idx="15">
                  <c:v>2001</c:v>
                </c:pt>
                <c:pt idx="16">
                  <c:v>2002</c:v>
                </c:pt>
                <c:pt idx="17">
                  <c:v>2002</c:v>
                </c:pt>
                <c:pt idx="18">
                  <c:v>2002</c:v>
                </c:pt>
                <c:pt idx="19">
                  <c:v>2002</c:v>
                </c:pt>
                <c:pt idx="20">
                  <c:v>2002</c:v>
                </c:pt>
                <c:pt idx="21">
                  <c:v>2002</c:v>
                </c:pt>
                <c:pt idx="22">
                  <c:v>2002</c:v>
                </c:pt>
                <c:pt idx="23">
                  <c:v>2002</c:v>
                </c:pt>
                <c:pt idx="24">
                  <c:v>2003</c:v>
                </c:pt>
                <c:pt idx="25">
                  <c:v>2003</c:v>
                </c:pt>
                <c:pt idx="26">
                  <c:v>2003</c:v>
                </c:pt>
                <c:pt idx="27">
                  <c:v>2003</c:v>
                </c:pt>
                <c:pt idx="28">
                  <c:v>2003</c:v>
                </c:pt>
                <c:pt idx="29">
                  <c:v>2003</c:v>
                </c:pt>
                <c:pt idx="30">
                  <c:v>2003</c:v>
                </c:pt>
                <c:pt idx="31">
                  <c:v>2003</c:v>
                </c:pt>
                <c:pt idx="32">
                  <c:v>2004</c:v>
                </c:pt>
                <c:pt idx="33">
                  <c:v>2004</c:v>
                </c:pt>
                <c:pt idx="34">
                  <c:v>2004</c:v>
                </c:pt>
                <c:pt idx="35">
                  <c:v>2004</c:v>
                </c:pt>
                <c:pt idx="36">
                  <c:v>2004</c:v>
                </c:pt>
                <c:pt idx="37">
                  <c:v>2004</c:v>
                </c:pt>
                <c:pt idx="38">
                  <c:v>2004</c:v>
                </c:pt>
                <c:pt idx="39">
                  <c:v>2004</c:v>
                </c:pt>
                <c:pt idx="40">
                  <c:v>2005</c:v>
                </c:pt>
                <c:pt idx="41">
                  <c:v>2005</c:v>
                </c:pt>
                <c:pt idx="42">
                  <c:v>2005</c:v>
                </c:pt>
                <c:pt idx="43">
                  <c:v>2005</c:v>
                </c:pt>
                <c:pt idx="44">
                  <c:v>2005</c:v>
                </c:pt>
                <c:pt idx="45">
                  <c:v>2005</c:v>
                </c:pt>
                <c:pt idx="46">
                  <c:v>2005</c:v>
                </c:pt>
                <c:pt idx="47">
                  <c:v>2005</c:v>
                </c:pt>
                <c:pt idx="48">
                  <c:v>2006</c:v>
                </c:pt>
                <c:pt idx="49">
                  <c:v>2006</c:v>
                </c:pt>
                <c:pt idx="50">
                  <c:v>2006</c:v>
                </c:pt>
                <c:pt idx="51">
                  <c:v>2006</c:v>
                </c:pt>
                <c:pt idx="52">
                  <c:v>2006</c:v>
                </c:pt>
                <c:pt idx="53">
                  <c:v>2006</c:v>
                </c:pt>
                <c:pt idx="54">
                  <c:v>2006</c:v>
                </c:pt>
                <c:pt idx="55">
                  <c:v>2006</c:v>
                </c:pt>
                <c:pt idx="56">
                  <c:v>2007</c:v>
                </c:pt>
                <c:pt idx="57">
                  <c:v>2007</c:v>
                </c:pt>
                <c:pt idx="58">
                  <c:v>2007</c:v>
                </c:pt>
                <c:pt idx="59">
                  <c:v>2007</c:v>
                </c:pt>
                <c:pt idx="60">
                  <c:v>2007</c:v>
                </c:pt>
                <c:pt idx="61">
                  <c:v>2007</c:v>
                </c:pt>
                <c:pt idx="62">
                  <c:v>2007</c:v>
                </c:pt>
                <c:pt idx="63">
                  <c:v>2007</c:v>
                </c:pt>
                <c:pt idx="64">
                  <c:v>2008</c:v>
                </c:pt>
                <c:pt idx="65">
                  <c:v>2008</c:v>
                </c:pt>
                <c:pt idx="66">
                  <c:v>2008</c:v>
                </c:pt>
                <c:pt idx="67">
                  <c:v>2008</c:v>
                </c:pt>
                <c:pt idx="68">
                  <c:v>2008</c:v>
                </c:pt>
                <c:pt idx="69">
                  <c:v>2008</c:v>
                </c:pt>
                <c:pt idx="70">
                  <c:v>2008</c:v>
                </c:pt>
                <c:pt idx="71">
                  <c:v>2008</c:v>
                </c:pt>
                <c:pt idx="72">
                  <c:v>2009</c:v>
                </c:pt>
                <c:pt idx="73">
                  <c:v>2009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2010</c:v>
                </c:pt>
                <c:pt idx="81">
                  <c:v>2010</c:v>
                </c:pt>
                <c:pt idx="82">
                  <c:v>2010</c:v>
                </c:pt>
                <c:pt idx="83">
                  <c:v>2010</c:v>
                </c:pt>
                <c:pt idx="84">
                  <c:v>2010</c:v>
                </c:pt>
                <c:pt idx="85">
                  <c:v>2010</c:v>
                </c:pt>
                <c:pt idx="86">
                  <c:v>2010</c:v>
                </c:pt>
                <c:pt idx="87">
                  <c:v>2010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576-D241-8168-63AFB33BEC75}"/>
            </c:ext>
          </c:extLst>
        </c:ser>
        <c:ser>
          <c:idx val="1"/>
          <c:order val="1"/>
          <c:tx>
            <c:v>Predicted year</c:v>
          </c:tx>
          <c:spPr>
            <a:ln w="19050">
              <a:noFill/>
            </a:ln>
          </c:spPr>
          <c:xVal>
            <c:numRef>
              <c:f>[1]Lions!$E$2:$E$90</c:f>
              <c:numCache>
                <c:formatCode>General</c:formatCode>
                <c:ptCount val="89"/>
                <c:pt idx="0">
                  <c:v>607076</c:v>
                </c:pt>
                <c:pt idx="1">
                  <c:v>607076</c:v>
                </c:pt>
                <c:pt idx="2">
                  <c:v>607076</c:v>
                </c:pt>
                <c:pt idx="3">
                  <c:v>607076</c:v>
                </c:pt>
                <c:pt idx="4">
                  <c:v>607076</c:v>
                </c:pt>
                <c:pt idx="5">
                  <c:v>607076</c:v>
                </c:pt>
                <c:pt idx="6">
                  <c:v>607076</c:v>
                </c:pt>
                <c:pt idx="7">
                  <c:v>607076</c:v>
                </c:pt>
                <c:pt idx="8">
                  <c:v>601815</c:v>
                </c:pt>
                <c:pt idx="9">
                  <c:v>601815</c:v>
                </c:pt>
                <c:pt idx="10">
                  <c:v>601815</c:v>
                </c:pt>
                <c:pt idx="11">
                  <c:v>601815</c:v>
                </c:pt>
                <c:pt idx="12">
                  <c:v>601815</c:v>
                </c:pt>
                <c:pt idx="13">
                  <c:v>601815</c:v>
                </c:pt>
                <c:pt idx="14">
                  <c:v>601815</c:v>
                </c:pt>
                <c:pt idx="15">
                  <c:v>601815</c:v>
                </c:pt>
                <c:pt idx="16">
                  <c:v>489742</c:v>
                </c:pt>
                <c:pt idx="17">
                  <c:v>489742</c:v>
                </c:pt>
                <c:pt idx="18">
                  <c:v>489742</c:v>
                </c:pt>
                <c:pt idx="19">
                  <c:v>489742</c:v>
                </c:pt>
                <c:pt idx="20">
                  <c:v>489742</c:v>
                </c:pt>
                <c:pt idx="21">
                  <c:v>489742</c:v>
                </c:pt>
                <c:pt idx="22">
                  <c:v>489742</c:v>
                </c:pt>
                <c:pt idx="23">
                  <c:v>489742</c:v>
                </c:pt>
                <c:pt idx="24">
                  <c:v>490442</c:v>
                </c:pt>
                <c:pt idx="25">
                  <c:v>490442</c:v>
                </c:pt>
                <c:pt idx="26">
                  <c:v>490442</c:v>
                </c:pt>
                <c:pt idx="27">
                  <c:v>490442</c:v>
                </c:pt>
                <c:pt idx="28">
                  <c:v>490442</c:v>
                </c:pt>
                <c:pt idx="29">
                  <c:v>490442</c:v>
                </c:pt>
                <c:pt idx="30">
                  <c:v>490442</c:v>
                </c:pt>
                <c:pt idx="31">
                  <c:v>490442</c:v>
                </c:pt>
                <c:pt idx="32">
                  <c:v>499162</c:v>
                </c:pt>
                <c:pt idx="33">
                  <c:v>499162</c:v>
                </c:pt>
                <c:pt idx="34">
                  <c:v>499162</c:v>
                </c:pt>
                <c:pt idx="35">
                  <c:v>499162</c:v>
                </c:pt>
                <c:pt idx="36">
                  <c:v>499162</c:v>
                </c:pt>
                <c:pt idx="37">
                  <c:v>499162</c:v>
                </c:pt>
                <c:pt idx="38">
                  <c:v>499162</c:v>
                </c:pt>
                <c:pt idx="39">
                  <c:v>499162</c:v>
                </c:pt>
                <c:pt idx="40">
                  <c:v>492580</c:v>
                </c:pt>
                <c:pt idx="41">
                  <c:v>492580</c:v>
                </c:pt>
                <c:pt idx="42">
                  <c:v>492580</c:v>
                </c:pt>
                <c:pt idx="43">
                  <c:v>492580</c:v>
                </c:pt>
                <c:pt idx="44">
                  <c:v>492580</c:v>
                </c:pt>
                <c:pt idx="45">
                  <c:v>492580</c:v>
                </c:pt>
                <c:pt idx="46">
                  <c:v>492580</c:v>
                </c:pt>
                <c:pt idx="47">
                  <c:v>492580</c:v>
                </c:pt>
                <c:pt idx="48">
                  <c:v>487116</c:v>
                </c:pt>
                <c:pt idx="49">
                  <c:v>487116</c:v>
                </c:pt>
                <c:pt idx="50">
                  <c:v>487116</c:v>
                </c:pt>
                <c:pt idx="51">
                  <c:v>487116</c:v>
                </c:pt>
                <c:pt idx="52">
                  <c:v>487116</c:v>
                </c:pt>
                <c:pt idx="53">
                  <c:v>487116</c:v>
                </c:pt>
                <c:pt idx="54">
                  <c:v>487116</c:v>
                </c:pt>
                <c:pt idx="55">
                  <c:v>487116</c:v>
                </c:pt>
                <c:pt idx="56">
                  <c:v>490436</c:v>
                </c:pt>
                <c:pt idx="57">
                  <c:v>490436</c:v>
                </c:pt>
                <c:pt idx="58">
                  <c:v>490436</c:v>
                </c:pt>
                <c:pt idx="59">
                  <c:v>490436</c:v>
                </c:pt>
                <c:pt idx="60">
                  <c:v>490436</c:v>
                </c:pt>
                <c:pt idx="61">
                  <c:v>490436</c:v>
                </c:pt>
                <c:pt idx="62">
                  <c:v>490436</c:v>
                </c:pt>
                <c:pt idx="63">
                  <c:v>490436</c:v>
                </c:pt>
                <c:pt idx="64">
                  <c:v>435979</c:v>
                </c:pt>
                <c:pt idx="65">
                  <c:v>435979</c:v>
                </c:pt>
                <c:pt idx="66">
                  <c:v>435979</c:v>
                </c:pt>
                <c:pt idx="67">
                  <c:v>435979</c:v>
                </c:pt>
                <c:pt idx="68">
                  <c:v>435979</c:v>
                </c:pt>
                <c:pt idx="69">
                  <c:v>435979</c:v>
                </c:pt>
                <c:pt idx="70">
                  <c:v>435979</c:v>
                </c:pt>
                <c:pt idx="71">
                  <c:v>435979</c:v>
                </c:pt>
                <c:pt idx="72">
                  <c:v>395162</c:v>
                </c:pt>
                <c:pt idx="73">
                  <c:v>395162</c:v>
                </c:pt>
                <c:pt idx="74">
                  <c:v>395162</c:v>
                </c:pt>
                <c:pt idx="75">
                  <c:v>395162</c:v>
                </c:pt>
                <c:pt idx="76">
                  <c:v>395162</c:v>
                </c:pt>
                <c:pt idx="77">
                  <c:v>395162</c:v>
                </c:pt>
                <c:pt idx="78">
                  <c:v>395162</c:v>
                </c:pt>
                <c:pt idx="79">
                  <c:v>395162</c:v>
                </c:pt>
                <c:pt idx="80">
                  <c:v>450286</c:v>
                </c:pt>
                <c:pt idx="81">
                  <c:v>450286</c:v>
                </c:pt>
                <c:pt idx="82">
                  <c:v>450286</c:v>
                </c:pt>
                <c:pt idx="83">
                  <c:v>450286</c:v>
                </c:pt>
                <c:pt idx="84">
                  <c:v>450286</c:v>
                </c:pt>
                <c:pt idx="85">
                  <c:v>450286</c:v>
                </c:pt>
                <c:pt idx="86">
                  <c:v>450286</c:v>
                </c:pt>
                <c:pt idx="87">
                  <c:v>450286</c:v>
                </c:pt>
              </c:numCache>
            </c:numRef>
          </c:xVal>
          <c:yVal>
            <c:numRef>
              <c:f>[1]Lions!$O$56:$O$241</c:f>
              <c:numCache>
                <c:formatCode>General</c:formatCode>
                <c:ptCount val="186"/>
                <c:pt idx="0">
                  <c:v>1999.9326366092055</c:v>
                </c:pt>
                <c:pt idx="1">
                  <c:v>1999.9326366092055</c:v>
                </c:pt>
                <c:pt idx="2">
                  <c:v>1999.9326366092055</c:v>
                </c:pt>
                <c:pt idx="3">
                  <c:v>1999.9326366092055</c:v>
                </c:pt>
                <c:pt idx="4">
                  <c:v>1999.9326366092055</c:v>
                </c:pt>
                <c:pt idx="5">
                  <c:v>1999.9326366092055</c:v>
                </c:pt>
                <c:pt idx="6">
                  <c:v>1999.9326366092055</c:v>
                </c:pt>
                <c:pt idx="7">
                  <c:v>1999.9326366092055</c:v>
                </c:pt>
                <c:pt idx="8">
                  <c:v>1999.9326366092055</c:v>
                </c:pt>
                <c:pt idx="9">
                  <c:v>1999.9326366092055</c:v>
                </c:pt>
                <c:pt idx="10">
                  <c:v>1999.9326366092055</c:v>
                </c:pt>
                <c:pt idx="11">
                  <c:v>1999.9326366092055</c:v>
                </c:pt>
                <c:pt idx="12">
                  <c:v>1999.9326366092055</c:v>
                </c:pt>
                <c:pt idx="13">
                  <c:v>1999.9326366092055</c:v>
                </c:pt>
                <c:pt idx="14">
                  <c:v>1999.9326366092055</c:v>
                </c:pt>
                <c:pt idx="15">
                  <c:v>1999.9326366092055</c:v>
                </c:pt>
                <c:pt idx="16">
                  <c:v>1999.9326366092055</c:v>
                </c:pt>
                <c:pt idx="17">
                  <c:v>2000.1687481050826</c:v>
                </c:pt>
                <c:pt idx="18">
                  <c:v>2000.1687481050826</c:v>
                </c:pt>
                <c:pt idx="19">
                  <c:v>2000.1687481050826</c:v>
                </c:pt>
                <c:pt idx="20">
                  <c:v>2000.1687481050826</c:v>
                </c:pt>
                <c:pt idx="21">
                  <c:v>2000.1687481050826</c:v>
                </c:pt>
                <c:pt idx="22">
                  <c:v>2000.1687481050826</c:v>
                </c:pt>
                <c:pt idx="23">
                  <c:v>2000.1687481050826</c:v>
                </c:pt>
                <c:pt idx="24">
                  <c:v>2000.1687481050826</c:v>
                </c:pt>
                <c:pt idx="25">
                  <c:v>2000.1687481050826</c:v>
                </c:pt>
                <c:pt idx="26">
                  <c:v>2000.1687481050826</c:v>
                </c:pt>
                <c:pt idx="27">
                  <c:v>2000.1687481050826</c:v>
                </c:pt>
                <c:pt idx="28">
                  <c:v>2000.1687481050826</c:v>
                </c:pt>
                <c:pt idx="29">
                  <c:v>2000.1687481050826</c:v>
                </c:pt>
                <c:pt idx="30">
                  <c:v>2000.1687481050826</c:v>
                </c:pt>
                <c:pt idx="31">
                  <c:v>2000.1687481050826</c:v>
                </c:pt>
                <c:pt idx="32">
                  <c:v>2000.1687481050826</c:v>
                </c:pt>
                <c:pt idx="33">
                  <c:v>2000.1687481050826</c:v>
                </c:pt>
                <c:pt idx="34">
                  <c:v>2005.1985378175775</c:v>
                </c:pt>
                <c:pt idx="35">
                  <c:v>2005.1985378175775</c:v>
                </c:pt>
                <c:pt idx="36">
                  <c:v>2005.1985378175775</c:v>
                </c:pt>
                <c:pt idx="37">
                  <c:v>2005.1985378175775</c:v>
                </c:pt>
                <c:pt idx="38">
                  <c:v>2005.1985378175775</c:v>
                </c:pt>
                <c:pt idx="39">
                  <c:v>2005.1985378175775</c:v>
                </c:pt>
                <c:pt idx="40">
                  <c:v>2005.1985378175775</c:v>
                </c:pt>
                <c:pt idx="41">
                  <c:v>2005.1985378175775</c:v>
                </c:pt>
                <c:pt idx="42">
                  <c:v>2005.1985378175775</c:v>
                </c:pt>
                <c:pt idx="43">
                  <c:v>2005.1985378175775</c:v>
                </c:pt>
                <c:pt idx="44">
                  <c:v>2005.1985378175775</c:v>
                </c:pt>
                <c:pt idx="45">
                  <c:v>2005.1985378175775</c:v>
                </c:pt>
                <c:pt idx="46">
                  <c:v>2005.1985378175775</c:v>
                </c:pt>
                <c:pt idx="47">
                  <c:v>2005.1985378175775</c:v>
                </c:pt>
                <c:pt idx="48">
                  <c:v>2005.1985378175775</c:v>
                </c:pt>
                <c:pt idx="49">
                  <c:v>2005.1985378175775</c:v>
                </c:pt>
                <c:pt idx="50">
                  <c:v>2005.1985378175775</c:v>
                </c:pt>
                <c:pt idx="51">
                  <c:v>2005.1671221081849</c:v>
                </c:pt>
                <c:pt idx="52">
                  <c:v>2005.1671221081849</c:v>
                </c:pt>
                <c:pt idx="53">
                  <c:v>2005.1671221081849</c:v>
                </c:pt>
                <c:pt idx="54">
                  <c:v>2005.1671221081849</c:v>
                </c:pt>
                <c:pt idx="55">
                  <c:v>2005.1671221081849</c:v>
                </c:pt>
                <c:pt idx="56">
                  <c:v>2005.1671221081849</c:v>
                </c:pt>
                <c:pt idx="57">
                  <c:v>2005.1671221081849</c:v>
                </c:pt>
                <c:pt idx="58">
                  <c:v>2005.1671221081849</c:v>
                </c:pt>
                <c:pt idx="59">
                  <c:v>2005.1671221081849</c:v>
                </c:pt>
                <c:pt idx="60">
                  <c:v>2005.1671221081849</c:v>
                </c:pt>
                <c:pt idx="61">
                  <c:v>2005.1671221081849</c:v>
                </c:pt>
                <c:pt idx="62">
                  <c:v>2005.1671221081849</c:v>
                </c:pt>
                <c:pt idx="63">
                  <c:v>2005.1671221081849</c:v>
                </c:pt>
                <c:pt idx="64">
                  <c:v>2005.1671221081849</c:v>
                </c:pt>
                <c:pt idx="65">
                  <c:v>2005.1671221081849</c:v>
                </c:pt>
                <c:pt idx="66">
                  <c:v>2005.1671221081849</c:v>
                </c:pt>
                <c:pt idx="67">
                  <c:v>2005.1671221081849</c:v>
                </c:pt>
                <c:pt idx="68">
                  <c:v>2004.775772128324</c:v>
                </c:pt>
                <c:pt idx="69">
                  <c:v>2004.775772128324</c:v>
                </c:pt>
                <c:pt idx="70">
                  <c:v>2004.775772128324</c:v>
                </c:pt>
                <c:pt idx="71">
                  <c:v>2004.775772128324</c:v>
                </c:pt>
                <c:pt idx="72">
                  <c:v>2004.775772128324</c:v>
                </c:pt>
                <c:pt idx="73">
                  <c:v>2004.775772128324</c:v>
                </c:pt>
                <c:pt idx="74">
                  <c:v>2004.775772128324</c:v>
                </c:pt>
                <c:pt idx="75">
                  <c:v>2004.775772128324</c:v>
                </c:pt>
                <c:pt idx="76">
                  <c:v>2004.775772128324</c:v>
                </c:pt>
                <c:pt idx="77">
                  <c:v>2004.775772128324</c:v>
                </c:pt>
                <c:pt idx="78">
                  <c:v>2004.775772128324</c:v>
                </c:pt>
                <c:pt idx="79">
                  <c:v>2004.775772128324</c:v>
                </c:pt>
                <c:pt idx="80">
                  <c:v>2004.775772128324</c:v>
                </c:pt>
                <c:pt idx="81">
                  <c:v>2004.775772128324</c:v>
                </c:pt>
                <c:pt idx="82">
                  <c:v>2004.775772128324</c:v>
                </c:pt>
                <c:pt idx="83">
                  <c:v>2004.775772128324</c:v>
                </c:pt>
                <c:pt idx="84">
                  <c:v>2004.775772128324</c:v>
                </c:pt>
                <c:pt idx="85">
                  <c:v>2005.0711695557834</c:v>
                </c:pt>
                <c:pt idx="86">
                  <c:v>2005.0711695557834</c:v>
                </c:pt>
                <c:pt idx="87">
                  <c:v>2005.0711695557834</c:v>
                </c:pt>
                <c:pt idx="88">
                  <c:v>2005.0711695557834</c:v>
                </c:pt>
                <c:pt idx="89">
                  <c:v>2005.0711695557834</c:v>
                </c:pt>
                <c:pt idx="90">
                  <c:v>2005.0711695557834</c:v>
                </c:pt>
                <c:pt idx="91">
                  <c:v>2005.0711695557834</c:v>
                </c:pt>
                <c:pt idx="92">
                  <c:v>2005.0711695557834</c:v>
                </c:pt>
                <c:pt idx="93">
                  <c:v>2005.0711695557834</c:v>
                </c:pt>
                <c:pt idx="94">
                  <c:v>2005.0711695557834</c:v>
                </c:pt>
                <c:pt idx="95">
                  <c:v>2005.0711695557834</c:v>
                </c:pt>
                <c:pt idx="96">
                  <c:v>2005.0711695557834</c:v>
                </c:pt>
                <c:pt idx="97">
                  <c:v>2005.0711695557834</c:v>
                </c:pt>
                <c:pt idx="98">
                  <c:v>2005.0711695557834</c:v>
                </c:pt>
                <c:pt idx="99">
                  <c:v>2005.0711695557834</c:v>
                </c:pt>
                <c:pt idx="100">
                  <c:v>2005.0711695557834</c:v>
                </c:pt>
                <c:pt idx="101">
                  <c:v>2005.0711695557834</c:v>
                </c:pt>
                <c:pt idx="102">
                  <c:v>2005.3163916073843</c:v>
                </c:pt>
                <c:pt idx="103">
                  <c:v>2005.3163916073843</c:v>
                </c:pt>
                <c:pt idx="104">
                  <c:v>2005.3163916073843</c:v>
                </c:pt>
                <c:pt idx="105">
                  <c:v>2005.3163916073843</c:v>
                </c:pt>
                <c:pt idx="106">
                  <c:v>2005.3163916073843</c:v>
                </c:pt>
                <c:pt idx="107">
                  <c:v>2005.3163916073843</c:v>
                </c:pt>
                <c:pt idx="108">
                  <c:v>2005.3163916073843</c:v>
                </c:pt>
                <c:pt idx="109">
                  <c:v>2005.3163916073843</c:v>
                </c:pt>
                <c:pt idx="110">
                  <c:v>2005.3163916073843</c:v>
                </c:pt>
                <c:pt idx="111">
                  <c:v>2005.3163916073843</c:v>
                </c:pt>
                <c:pt idx="112">
                  <c:v>2005.3163916073843</c:v>
                </c:pt>
                <c:pt idx="113">
                  <c:v>2005.3163916073843</c:v>
                </c:pt>
                <c:pt idx="114">
                  <c:v>2005.3163916073843</c:v>
                </c:pt>
                <c:pt idx="115">
                  <c:v>2005.3163916073843</c:v>
                </c:pt>
                <c:pt idx="116">
                  <c:v>2005.3163916073843</c:v>
                </c:pt>
                <c:pt idx="117">
                  <c:v>2005.3163916073843</c:v>
                </c:pt>
                <c:pt idx="118">
                  <c:v>2005.3163916073843</c:v>
                </c:pt>
                <c:pt idx="119">
                  <c:v>2005.1673913856941</c:v>
                </c:pt>
                <c:pt idx="120">
                  <c:v>2005.1673913856941</c:v>
                </c:pt>
                <c:pt idx="121">
                  <c:v>2005.1673913856941</c:v>
                </c:pt>
                <c:pt idx="122">
                  <c:v>2005.1673913856941</c:v>
                </c:pt>
                <c:pt idx="123">
                  <c:v>2005.1673913856941</c:v>
                </c:pt>
                <c:pt idx="124">
                  <c:v>2005.1673913856941</c:v>
                </c:pt>
                <c:pt idx="125">
                  <c:v>2005.1673913856941</c:v>
                </c:pt>
                <c:pt idx="126">
                  <c:v>2005.1673913856941</c:v>
                </c:pt>
                <c:pt idx="127">
                  <c:v>2005.1673913856941</c:v>
                </c:pt>
                <c:pt idx="128">
                  <c:v>2005.1673913856941</c:v>
                </c:pt>
                <c:pt idx="129">
                  <c:v>2005.1673913856941</c:v>
                </c:pt>
                <c:pt idx="130">
                  <c:v>2005.1673913856941</c:v>
                </c:pt>
                <c:pt idx="131">
                  <c:v>2005.1673913856941</c:v>
                </c:pt>
                <c:pt idx="132">
                  <c:v>2005.1673913856941</c:v>
                </c:pt>
                <c:pt idx="133">
                  <c:v>2005.1673913856941</c:v>
                </c:pt>
                <c:pt idx="134">
                  <c:v>2005.1673913856941</c:v>
                </c:pt>
                <c:pt idx="135">
                  <c:v>2005.1673913856941</c:v>
                </c:pt>
                <c:pt idx="136">
                  <c:v>2007.6113989376765</c:v>
                </c:pt>
                <c:pt idx="137">
                  <c:v>2007.6113989376765</c:v>
                </c:pt>
                <c:pt idx="138">
                  <c:v>2007.6113989376765</c:v>
                </c:pt>
                <c:pt idx="139">
                  <c:v>2007.6113989376765</c:v>
                </c:pt>
                <c:pt idx="140">
                  <c:v>2007.6113989376765</c:v>
                </c:pt>
                <c:pt idx="141">
                  <c:v>2007.6113989376765</c:v>
                </c:pt>
                <c:pt idx="142">
                  <c:v>2007.6113989376765</c:v>
                </c:pt>
                <c:pt idx="143">
                  <c:v>2007.6113989376765</c:v>
                </c:pt>
                <c:pt idx="144">
                  <c:v>2007.6113989376765</c:v>
                </c:pt>
                <c:pt idx="145">
                  <c:v>2007.6113989376765</c:v>
                </c:pt>
                <c:pt idx="146">
                  <c:v>2007.6113989376765</c:v>
                </c:pt>
                <c:pt idx="147">
                  <c:v>2007.6113989376765</c:v>
                </c:pt>
                <c:pt idx="148">
                  <c:v>2007.6113989376765</c:v>
                </c:pt>
                <c:pt idx="149">
                  <c:v>2007.6113989376765</c:v>
                </c:pt>
                <c:pt idx="150">
                  <c:v>2007.6113989376765</c:v>
                </c:pt>
                <c:pt idx="151">
                  <c:v>2007.6113989376765</c:v>
                </c:pt>
                <c:pt idx="152">
                  <c:v>2007.6113989376765</c:v>
                </c:pt>
                <c:pt idx="153">
                  <c:v>2009.4432489523538</c:v>
                </c:pt>
                <c:pt idx="154">
                  <c:v>2009.4432489523538</c:v>
                </c:pt>
                <c:pt idx="155">
                  <c:v>2009.4432489523538</c:v>
                </c:pt>
                <c:pt idx="156">
                  <c:v>2009.4432489523538</c:v>
                </c:pt>
                <c:pt idx="157">
                  <c:v>2009.4432489523538</c:v>
                </c:pt>
                <c:pt idx="158">
                  <c:v>2009.4432489523538</c:v>
                </c:pt>
                <c:pt idx="159">
                  <c:v>2009.4432489523538</c:v>
                </c:pt>
                <c:pt idx="160">
                  <c:v>2009.4432489523538</c:v>
                </c:pt>
                <c:pt idx="161">
                  <c:v>2009.4432489523538</c:v>
                </c:pt>
                <c:pt idx="162">
                  <c:v>2009.4432489523538</c:v>
                </c:pt>
                <c:pt idx="163">
                  <c:v>2009.4432489523538</c:v>
                </c:pt>
                <c:pt idx="164">
                  <c:v>2009.4432489523538</c:v>
                </c:pt>
                <c:pt idx="165">
                  <c:v>2009.4432489523538</c:v>
                </c:pt>
                <c:pt idx="166">
                  <c:v>2009.4432489523538</c:v>
                </c:pt>
                <c:pt idx="167">
                  <c:v>2009.4432489523538</c:v>
                </c:pt>
                <c:pt idx="168">
                  <c:v>2009.4432489523538</c:v>
                </c:pt>
                <c:pt idx="169">
                  <c:v>2009.4432489523538</c:v>
                </c:pt>
                <c:pt idx="170">
                  <c:v>2006.9693067172786</c:v>
                </c:pt>
                <c:pt idx="171">
                  <c:v>2006.9693067172786</c:v>
                </c:pt>
                <c:pt idx="172">
                  <c:v>2006.9693067172786</c:v>
                </c:pt>
                <c:pt idx="173">
                  <c:v>2006.9693067172786</c:v>
                </c:pt>
                <c:pt idx="174">
                  <c:v>2006.9693067172786</c:v>
                </c:pt>
                <c:pt idx="175">
                  <c:v>2006.9693067172786</c:v>
                </c:pt>
                <c:pt idx="176">
                  <c:v>2006.9693067172786</c:v>
                </c:pt>
                <c:pt idx="177">
                  <c:v>2006.9693067172786</c:v>
                </c:pt>
                <c:pt idx="178">
                  <c:v>2006.9693067172786</c:v>
                </c:pt>
                <c:pt idx="179">
                  <c:v>2006.9693067172786</c:v>
                </c:pt>
                <c:pt idx="180">
                  <c:v>2006.9693067172786</c:v>
                </c:pt>
                <c:pt idx="181">
                  <c:v>2006.9693067172786</c:v>
                </c:pt>
                <c:pt idx="182">
                  <c:v>2006.9693067172786</c:v>
                </c:pt>
                <c:pt idx="183">
                  <c:v>2006.9693067172786</c:v>
                </c:pt>
                <c:pt idx="184">
                  <c:v>2006.9693067172786</c:v>
                </c:pt>
                <c:pt idx="185">
                  <c:v>2006.9693067172786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76-D241-8168-63AFB33BE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0774224"/>
        <c:axId val="1920775936"/>
      </c:scatterChart>
      <c:valAx>
        <c:axId val="1920774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20775936"/>
        <c:crosses val="autoZero"/>
        <c:crossBetween val="midCat"/>
      </c:valAx>
      <c:valAx>
        <c:axId val="19207759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2077422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Cardinals</a:t>
            </a:r>
            <a:r>
              <a:rPr lang="en-US" baseline="0"/>
              <a:t> H</a:t>
            </a:r>
            <a:r>
              <a:rPr lang="en-US"/>
              <a:t>ome Line Fit  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year</c:v>
          </c:tx>
          <c:spPr>
            <a:ln w="19050">
              <a:noFill/>
            </a:ln>
          </c:spPr>
          <c:xVal>
            <c:numRef>
              <c:f>[1]Cardinals!$E$2:$E$110</c:f>
              <c:numCache>
                <c:formatCode>General</c:formatCode>
                <c:ptCount val="109"/>
                <c:pt idx="0">
                  <c:v>387475</c:v>
                </c:pt>
                <c:pt idx="1">
                  <c:v>387475</c:v>
                </c:pt>
                <c:pt idx="2">
                  <c:v>387475</c:v>
                </c:pt>
                <c:pt idx="3">
                  <c:v>387475</c:v>
                </c:pt>
                <c:pt idx="4">
                  <c:v>387475</c:v>
                </c:pt>
                <c:pt idx="5">
                  <c:v>387475</c:v>
                </c:pt>
                <c:pt idx="6">
                  <c:v>387475</c:v>
                </c:pt>
                <c:pt idx="7">
                  <c:v>387475</c:v>
                </c:pt>
                <c:pt idx="8">
                  <c:v>307315</c:v>
                </c:pt>
                <c:pt idx="9">
                  <c:v>307315</c:v>
                </c:pt>
                <c:pt idx="10">
                  <c:v>307315</c:v>
                </c:pt>
                <c:pt idx="11">
                  <c:v>307315</c:v>
                </c:pt>
                <c:pt idx="12">
                  <c:v>307315</c:v>
                </c:pt>
                <c:pt idx="13">
                  <c:v>307315</c:v>
                </c:pt>
                <c:pt idx="14">
                  <c:v>307315</c:v>
                </c:pt>
                <c:pt idx="15">
                  <c:v>307315</c:v>
                </c:pt>
                <c:pt idx="16">
                  <c:v>327272</c:v>
                </c:pt>
                <c:pt idx="17">
                  <c:v>327272</c:v>
                </c:pt>
                <c:pt idx="18">
                  <c:v>327272</c:v>
                </c:pt>
                <c:pt idx="19">
                  <c:v>327272</c:v>
                </c:pt>
                <c:pt idx="20">
                  <c:v>327272</c:v>
                </c:pt>
                <c:pt idx="21">
                  <c:v>327272</c:v>
                </c:pt>
                <c:pt idx="22">
                  <c:v>327272</c:v>
                </c:pt>
                <c:pt idx="23">
                  <c:v>327272</c:v>
                </c:pt>
                <c:pt idx="24">
                  <c:v>288499</c:v>
                </c:pt>
                <c:pt idx="25">
                  <c:v>288499</c:v>
                </c:pt>
                <c:pt idx="26">
                  <c:v>288499</c:v>
                </c:pt>
                <c:pt idx="27">
                  <c:v>288499</c:v>
                </c:pt>
                <c:pt idx="28">
                  <c:v>288499</c:v>
                </c:pt>
                <c:pt idx="29">
                  <c:v>288499</c:v>
                </c:pt>
                <c:pt idx="30">
                  <c:v>288499</c:v>
                </c:pt>
                <c:pt idx="31">
                  <c:v>288499</c:v>
                </c:pt>
                <c:pt idx="32">
                  <c:v>300267</c:v>
                </c:pt>
                <c:pt idx="33">
                  <c:v>300267</c:v>
                </c:pt>
                <c:pt idx="34">
                  <c:v>300267</c:v>
                </c:pt>
                <c:pt idx="35">
                  <c:v>300267</c:v>
                </c:pt>
                <c:pt idx="36">
                  <c:v>300267</c:v>
                </c:pt>
                <c:pt idx="37">
                  <c:v>300267</c:v>
                </c:pt>
                <c:pt idx="38">
                  <c:v>300267</c:v>
                </c:pt>
                <c:pt idx="39">
                  <c:v>300267</c:v>
                </c:pt>
                <c:pt idx="40">
                  <c:v>401035</c:v>
                </c:pt>
                <c:pt idx="41">
                  <c:v>401035</c:v>
                </c:pt>
                <c:pt idx="42">
                  <c:v>401035</c:v>
                </c:pt>
                <c:pt idx="43">
                  <c:v>401035</c:v>
                </c:pt>
                <c:pt idx="44">
                  <c:v>401035</c:v>
                </c:pt>
                <c:pt idx="45">
                  <c:v>401035</c:v>
                </c:pt>
                <c:pt idx="46">
                  <c:v>401035</c:v>
                </c:pt>
                <c:pt idx="47">
                  <c:v>401035</c:v>
                </c:pt>
                <c:pt idx="48">
                  <c:v>508829</c:v>
                </c:pt>
                <c:pt idx="49">
                  <c:v>508829</c:v>
                </c:pt>
                <c:pt idx="50">
                  <c:v>508829</c:v>
                </c:pt>
                <c:pt idx="51">
                  <c:v>508829</c:v>
                </c:pt>
                <c:pt idx="52">
                  <c:v>508829</c:v>
                </c:pt>
                <c:pt idx="53">
                  <c:v>508829</c:v>
                </c:pt>
                <c:pt idx="54">
                  <c:v>508829</c:v>
                </c:pt>
                <c:pt idx="55">
                  <c:v>508829</c:v>
                </c:pt>
                <c:pt idx="56">
                  <c:v>516646</c:v>
                </c:pt>
                <c:pt idx="57">
                  <c:v>516646</c:v>
                </c:pt>
                <c:pt idx="58">
                  <c:v>516646</c:v>
                </c:pt>
                <c:pt idx="59">
                  <c:v>516646</c:v>
                </c:pt>
                <c:pt idx="60">
                  <c:v>516646</c:v>
                </c:pt>
                <c:pt idx="61">
                  <c:v>516646</c:v>
                </c:pt>
                <c:pt idx="62">
                  <c:v>516646</c:v>
                </c:pt>
                <c:pt idx="63">
                  <c:v>516646</c:v>
                </c:pt>
                <c:pt idx="64">
                  <c:v>512775</c:v>
                </c:pt>
                <c:pt idx="65">
                  <c:v>512775</c:v>
                </c:pt>
                <c:pt idx="66">
                  <c:v>512775</c:v>
                </c:pt>
                <c:pt idx="67">
                  <c:v>512775</c:v>
                </c:pt>
                <c:pt idx="68">
                  <c:v>512775</c:v>
                </c:pt>
                <c:pt idx="69">
                  <c:v>512775</c:v>
                </c:pt>
                <c:pt idx="70">
                  <c:v>512775</c:v>
                </c:pt>
                <c:pt idx="71">
                  <c:v>512775</c:v>
                </c:pt>
                <c:pt idx="72">
                  <c:v>505143</c:v>
                </c:pt>
                <c:pt idx="73">
                  <c:v>505143</c:v>
                </c:pt>
                <c:pt idx="74">
                  <c:v>505143</c:v>
                </c:pt>
                <c:pt idx="75">
                  <c:v>505143</c:v>
                </c:pt>
                <c:pt idx="76">
                  <c:v>505143</c:v>
                </c:pt>
                <c:pt idx="77">
                  <c:v>505143</c:v>
                </c:pt>
                <c:pt idx="78">
                  <c:v>505143</c:v>
                </c:pt>
                <c:pt idx="79">
                  <c:v>505143</c:v>
                </c:pt>
                <c:pt idx="80">
                  <c:v>502197</c:v>
                </c:pt>
                <c:pt idx="81">
                  <c:v>502197</c:v>
                </c:pt>
                <c:pt idx="82">
                  <c:v>502197</c:v>
                </c:pt>
                <c:pt idx="83">
                  <c:v>502197</c:v>
                </c:pt>
                <c:pt idx="84">
                  <c:v>502197</c:v>
                </c:pt>
                <c:pt idx="85">
                  <c:v>502197</c:v>
                </c:pt>
                <c:pt idx="86">
                  <c:v>502197</c:v>
                </c:pt>
                <c:pt idx="87">
                  <c:v>502197</c:v>
                </c:pt>
              </c:numCache>
            </c:numRef>
          </c:xVal>
          <c:yVal>
            <c:numRef>
              <c:f>[1]Cardinals!$C$2:$C$110</c:f>
              <c:numCache>
                <c:formatCode>General</c:formatCode>
                <c:ptCount val="109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2001</c:v>
                </c:pt>
                <c:pt idx="9">
                  <c:v>2001</c:v>
                </c:pt>
                <c:pt idx="10">
                  <c:v>2001</c:v>
                </c:pt>
                <c:pt idx="11">
                  <c:v>2001</c:v>
                </c:pt>
                <c:pt idx="12">
                  <c:v>2001</c:v>
                </c:pt>
                <c:pt idx="13">
                  <c:v>2001</c:v>
                </c:pt>
                <c:pt idx="14">
                  <c:v>2001</c:v>
                </c:pt>
                <c:pt idx="15">
                  <c:v>2001</c:v>
                </c:pt>
                <c:pt idx="16">
                  <c:v>2002</c:v>
                </c:pt>
                <c:pt idx="17">
                  <c:v>2002</c:v>
                </c:pt>
                <c:pt idx="18">
                  <c:v>2002</c:v>
                </c:pt>
                <c:pt idx="19">
                  <c:v>2002</c:v>
                </c:pt>
                <c:pt idx="20">
                  <c:v>2002</c:v>
                </c:pt>
                <c:pt idx="21">
                  <c:v>2002</c:v>
                </c:pt>
                <c:pt idx="22">
                  <c:v>2002</c:v>
                </c:pt>
                <c:pt idx="23">
                  <c:v>2002</c:v>
                </c:pt>
                <c:pt idx="24">
                  <c:v>2003</c:v>
                </c:pt>
                <c:pt idx="25">
                  <c:v>2003</c:v>
                </c:pt>
                <c:pt idx="26">
                  <c:v>2003</c:v>
                </c:pt>
                <c:pt idx="27">
                  <c:v>2003</c:v>
                </c:pt>
                <c:pt idx="28">
                  <c:v>2003</c:v>
                </c:pt>
                <c:pt idx="29">
                  <c:v>2003</c:v>
                </c:pt>
                <c:pt idx="30">
                  <c:v>2003</c:v>
                </c:pt>
                <c:pt idx="31">
                  <c:v>2003</c:v>
                </c:pt>
                <c:pt idx="32">
                  <c:v>2004</c:v>
                </c:pt>
                <c:pt idx="33">
                  <c:v>2004</c:v>
                </c:pt>
                <c:pt idx="34">
                  <c:v>2004</c:v>
                </c:pt>
                <c:pt idx="35">
                  <c:v>2004</c:v>
                </c:pt>
                <c:pt idx="36">
                  <c:v>2004</c:v>
                </c:pt>
                <c:pt idx="37">
                  <c:v>2004</c:v>
                </c:pt>
                <c:pt idx="38">
                  <c:v>2004</c:v>
                </c:pt>
                <c:pt idx="39">
                  <c:v>2004</c:v>
                </c:pt>
                <c:pt idx="40">
                  <c:v>2005</c:v>
                </c:pt>
                <c:pt idx="41">
                  <c:v>2005</c:v>
                </c:pt>
                <c:pt idx="42">
                  <c:v>2005</c:v>
                </c:pt>
                <c:pt idx="43">
                  <c:v>2005</c:v>
                </c:pt>
                <c:pt idx="44">
                  <c:v>2005</c:v>
                </c:pt>
                <c:pt idx="45">
                  <c:v>2005</c:v>
                </c:pt>
                <c:pt idx="46">
                  <c:v>2005</c:v>
                </c:pt>
                <c:pt idx="47">
                  <c:v>2005</c:v>
                </c:pt>
                <c:pt idx="48">
                  <c:v>2006</c:v>
                </c:pt>
                <c:pt idx="49">
                  <c:v>2006</c:v>
                </c:pt>
                <c:pt idx="50">
                  <c:v>2006</c:v>
                </c:pt>
                <c:pt idx="51">
                  <c:v>2006</c:v>
                </c:pt>
                <c:pt idx="52">
                  <c:v>2006</c:v>
                </c:pt>
                <c:pt idx="53">
                  <c:v>2006</c:v>
                </c:pt>
                <c:pt idx="54">
                  <c:v>2006</c:v>
                </c:pt>
                <c:pt idx="55">
                  <c:v>2006</c:v>
                </c:pt>
                <c:pt idx="56">
                  <c:v>2007</c:v>
                </c:pt>
                <c:pt idx="57">
                  <c:v>2007</c:v>
                </c:pt>
                <c:pt idx="58">
                  <c:v>2007</c:v>
                </c:pt>
                <c:pt idx="59">
                  <c:v>2007</c:v>
                </c:pt>
                <c:pt idx="60">
                  <c:v>2007</c:v>
                </c:pt>
                <c:pt idx="61">
                  <c:v>2007</c:v>
                </c:pt>
                <c:pt idx="62">
                  <c:v>2007</c:v>
                </c:pt>
                <c:pt idx="63">
                  <c:v>2007</c:v>
                </c:pt>
                <c:pt idx="64">
                  <c:v>2008</c:v>
                </c:pt>
                <c:pt idx="65">
                  <c:v>2008</c:v>
                </c:pt>
                <c:pt idx="66">
                  <c:v>2008</c:v>
                </c:pt>
                <c:pt idx="67">
                  <c:v>2008</c:v>
                </c:pt>
                <c:pt idx="68">
                  <c:v>2008</c:v>
                </c:pt>
                <c:pt idx="69">
                  <c:v>2008</c:v>
                </c:pt>
                <c:pt idx="70">
                  <c:v>2008</c:v>
                </c:pt>
                <c:pt idx="71">
                  <c:v>2008</c:v>
                </c:pt>
                <c:pt idx="72">
                  <c:v>2009</c:v>
                </c:pt>
                <c:pt idx="73">
                  <c:v>2009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2010</c:v>
                </c:pt>
                <c:pt idx="81">
                  <c:v>2010</c:v>
                </c:pt>
                <c:pt idx="82">
                  <c:v>2010</c:v>
                </c:pt>
                <c:pt idx="83">
                  <c:v>2010</c:v>
                </c:pt>
                <c:pt idx="84">
                  <c:v>2010</c:v>
                </c:pt>
                <c:pt idx="85">
                  <c:v>2010</c:v>
                </c:pt>
                <c:pt idx="86">
                  <c:v>2010</c:v>
                </c:pt>
                <c:pt idx="87">
                  <c:v>2010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36-194F-ACBA-74BDCEA01198}"/>
            </c:ext>
          </c:extLst>
        </c:ser>
        <c:ser>
          <c:idx val="1"/>
          <c:order val="1"/>
          <c:tx>
            <c:v>Predicted year</c:v>
          </c:tx>
          <c:spPr>
            <a:ln w="19050">
              <a:noFill/>
            </a:ln>
          </c:spPr>
          <c:xVal>
            <c:numRef>
              <c:f>[1]Cardinals!$E$2:$E$110</c:f>
              <c:numCache>
                <c:formatCode>General</c:formatCode>
                <c:ptCount val="109"/>
                <c:pt idx="0">
                  <c:v>387475</c:v>
                </c:pt>
                <c:pt idx="1">
                  <c:v>387475</c:v>
                </c:pt>
                <c:pt idx="2">
                  <c:v>387475</c:v>
                </c:pt>
                <c:pt idx="3">
                  <c:v>387475</c:v>
                </c:pt>
                <c:pt idx="4">
                  <c:v>387475</c:v>
                </c:pt>
                <c:pt idx="5">
                  <c:v>387475</c:v>
                </c:pt>
                <c:pt idx="6">
                  <c:v>387475</c:v>
                </c:pt>
                <c:pt idx="7">
                  <c:v>387475</c:v>
                </c:pt>
                <c:pt idx="8">
                  <c:v>307315</c:v>
                </c:pt>
                <c:pt idx="9">
                  <c:v>307315</c:v>
                </c:pt>
                <c:pt idx="10">
                  <c:v>307315</c:v>
                </c:pt>
                <c:pt idx="11">
                  <c:v>307315</c:v>
                </c:pt>
                <c:pt idx="12">
                  <c:v>307315</c:v>
                </c:pt>
                <c:pt idx="13">
                  <c:v>307315</c:v>
                </c:pt>
                <c:pt idx="14">
                  <c:v>307315</c:v>
                </c:pt>
                <c:pt idx="15">
                  <c:v>307315</c:v>
                </c:pt>
                <c:pt idx="16">
                  <c:v>327272</c:v>
                </c:pt>
                <c:pt idx="17">
                  <c:v>327272</c:v>
                </c:pt>
                <c:pt idx="18">
                  <c:v>327272</c:v>
                </c:pt>
                <c:pt idx="19">
                  <c:v>327272</c:v>
                </c:pt>
                <c:pt idx="20">
                  <c:v>327272</c:v>
                </c:pt>
                <c:pt idx="21">
                  <c:v>327272</c:v>
                </c:pt>
                <c:pt idx="22">
                  <c:v>327272</c:v>
                </c:pt>
                <c:pt idx="23">
                  <c:v>327272</c:v>
                </c:pt>
                <c:pt idx="24">
                  <c:v>288499</c:v>
                </c:pt>
                <c:pt idx="25">
                  <c:v>288499</c:v>
                </c:pt>
                <c:pt idx="26">
                  <c:v>288499</c:v>
                </c:pt>
                <c:pt idx="27">
                  <c:v>288499</c:v>
                </c:pt>
                <c:pt idx="28">
                  <c:v>288499</c:v>
                </c:pt>
                <c:pt idx="29">
                  <c:v>288499</c:v>
                </c:pt>
                <c:pt idx="30">
                  <c:v>288499</c:v>
                </c:pt>
                <c:pt idx="31">
                  <c:v>288499</c:v>
                </c:pt>
                <c:pt idx="32">
                  <c:v>300267</c:v>
                </c:pt>
                <c:pt idx="33">
                  <c:v>300267</c:v>
                </c:pt>
                <c:pt idx="34">
                  <c:v>300267</c:v>
                </c:pt>
                <c:pt idx="35">
                  <c:v>300267</c:v>
                </c:pt>
                <c:pt idx="36">
                  <c:v>300267</c:v>
                </c:pt>
                <c:pt idx="37">
                  <c:v>300267</c:v>
                </c:pt>
                <c:pt idx="38">
                  <c:v>300267</c:v>
                </c:pt>
                <c:pt idx="39">
                  <c:v>300267</c:v>
                </c:pt>
                <c:pt idx="40">
                  <c:v>401035</c:v>
                </c:pt>
                <c:pt idx="41">
                  <c:v>401035</c:v>
                </c:pt>
                <c:pt idx="42">
                  <c:v>401035</c:v>
                </c:pt>
                <c:pt idx="43">
                  <c:v>401035</c:v>
                </c:pt>
                <c:pt idx="44">
                  <c:v>401035</c:v>
                </c:pt>
                <c:pt idx="45">
                  <c:v>401035</c:v>
                </c:pt>
                <c:pt idx="46">
                  <c:v>401035</c:v>
                </c:pt>
                <c:pt idx="47">
                  <c:v>401035</c:v>
                </c:pt>
                <c:pt idx="48">
                  <c:v>508829</c:v>
                </c:pt>
                <c:pt idx="49">
                  <c:v>508829</c:v>
                </c:pt>
                <c:pt idx="50">
                  <c:v>508829</c:v>
                </c:pt>
                <c:pt idx="51">
                  <c:v>508829</c:v>
                </c:pt>
                <c:pt idx="52">
                  <c:v>508829</c:v>
                </c:pt>
                <c:pt idx="53">
                  <c:v>508829</c:v>
                </c:pt>
                <c:pt idx="54">
                  <c:v>508829</c:v>
                </c:pt>
                <c:pt idx="55">
                  <c:v>508829</c:v>
                </c:pt>
                <c:pt idx="56">
                  <c:v>516646</c:v>
                </c:pt>
                <c:pt idx="57">
                  <c:v>516646</c:v>
                </c:pt>
                <c:pt idx="58">
                  <c:v>516646</c:v>
                </c:pt>
                <c:pt idx="59">
                  <c:v>516646</c:v>
                </c:pt>
                <c:pt idx="60">
                  <c:v>516646</c:v>
                </c:pt>
                <c:pt idx="61">
                  <c:v>516646</c:v>
                </c:pt>
                <c:pt idx="62">
                  <c:v>516646</c:v>
                </c:pt>
                <c:pt idx="63">
                  <c:v>516646</c:v>
                </c:pt>
                <c:pt idx="64">
                  <c:v>512775</c:v>
                </c:pt>
                <c:pt idx="65">
                  <c:v>512775</c:v>
                </c:pt>
                <c:pt idx="66">
                  <c:v>512775</c:v>
                </c:pt>
                <c:pt idx="67">
                  <c:v>512775</c:v>
                </c:pt>
                <c:pt idx="68">
                  <c:v>512775</c:v>
                </c:pt>
                <c:pt idx="69">
                  <c:v>512775</c:v>
                </c:pt>
                <c:pt idx="70">
                  <c:v>512775</c:v>
                </c:pt>
                <c:pt idx="71">
                  <c:v>512775</c:v>
                </c:pt>
                <c:pt idx="72">
                  <c:v>505143</c:v>
                </c:pt>
                <c:pt idx="73">
                  <c:v>505143</c:v>
                </c:pt>
                <c:pt idx="74">
                  <c:v>505143</c:v>
                </c:pt>
                <c:pt idx="75">
                  <c:v>505143</c:v>
                </c:pt>
                <c:pt idx="76">
                  <c:v>505143</c:v>
                </c:pt>
                <c:pt idx="77">
                  <c:v>505143</c:v>
                </c:pt>
                <c:pt idx="78">
                  <c:v>505143</c:v>
                </c:pt>
                <c:pt idx="79">
                  <c:v>505143</c:v>
                </c:pt>
                <c:pt idx="80">
                  <c:v>502197</c:v>
                </c:pt>
                <c:pt idx="81">
                  <c:v>502197</c:v>
                </c:pt>
                <c:pt idx="82">
                  <c:v>502197</c:v>
                </c:pt>
                <c:pt idx="83">
                  <c:v>502197</c:v>
                </c:pt>
                <c:pt idx="84">
                  <c:v>502197</c:v>
                </c:pt>
                <c:pt idx="85">
                  <c:v>502197</c:v>
                </c:pt>
                <c:pt idx="86">
                  <c:v>502197</c:v>
                </c:pt>
                <c:pt idx="87">
                  <c:v>502197</c:v>
                </c:pt>
              </c:numCache>
            </c:numRef>
          </c:xVal>
          <c:yVal>
            <c:numRef>
              <c:f>[1]Cardinals!$O$56:$O$241</c:f>
              <c:numCache>
                <c:formatCode>General</c:formatCode>
                <c:ptCount val="186"/>
                <c:pt idx="0">
                  <c:v>2004.2501549169519</c:v>
                </c:pt>
                <c:pt idx="1">
                  <c:v>2004.2501549169519</c:v>
                </c:pt>
                <c:pt idx="2">
                  <c:v>2004.2501549169519</c:v>
                </c:pt>
                <c:pt idx="3">
                  <c:v>2004.2501549169519</c:v>
                </c:pt>
                <c:pt idx="4">
                  <c:v>2004.2501549169519</c:v>
                </c:pt>
                <c:pt idx="5">
                  <c:v>2004.2501549169519</c:v>
                </c:pt>
                <c:pt idx="6">
                  <c:v>2004.2501549169519</c:v>
                </c:pt>
                <c:pt idx="7">
                  <c:v>2004.2501549169519</c:v>
                </c:pt>
                <c:pt idx="8">
                  <c:v>2004.2501549169519</c:v>
                </c:pt>
                <c:pt idx="9">
                  <c:v>2004.2501549169519</c:v>
                </c:pt>
                <c:pt idx="10">
                  <c:v>2004.2501549169519</c:v>
                </c:pt>
                <c:pt idx="11">
                  <c:v>2004.2501549169519</c:v>
                </c:pt>
                <c:pt idx="12">
                  <c:v>2004.2501549169519</c:v>
                </c:pt>
                <c:pt idx="13">
                  <c:v>2004.2501549169519</c:v>
                </c:pt>
                <c:pt idx="14">
                  <c:v>2004.2501549169519</c:v>
                </c:pt>
                <c:pt idx="15">
                  <c:v>2004.2501549169519</c:v>
                </c:pt>
                <c:pt idx="16">
                  <c:v>2004.2501549169519</c:v>
                </c:pt>
                <c:pt idx="17">
                  <c:v>2002.052179440361</c:v>
                </c:pt>
                <c:pt idx="18">
                  <c:v>2002.052179440361</c:v>
                </c:pt>
                <c:pt idx="19">
                  <c:v>2002.052179440361</c:v>
                </c:pt>
                <c:pt idx="20">
                  <c:v>2002.052179440361</c:v>
                </c:pt>
                <c:pt idx="21">
                  <c:v>2002.052179440361</c:v>
                </c:pt>
                <c:pt idx="22">
                  <c:v>2002.052179440361</c:v>
                </c:pt>
                <c:pt idx="23">
                  <c:v>2002.052179440361</c:v>
                </c:pt>
                <c:pt idx="24">
                  <c:v>2002.052179440361</c:v>
                </c:pt>
                <c:pt idx="25">
                  <c:v>2002.052179440361</c:v>
                </c:pt>
                <c:pt idx="26">
                  <c:v>2002.052179440361</c:v>
                </c:pt>
                <c:pt idx="27">
                  <c:v>2002.052179440361</c:v>
                </c:pt>
                <c:pt idx="28">
                  <c:v>2002.052179440361</c:v>
                </c:pt>
                <c:pt idx="29">
                  <c:v>2002.052179440361</c:v>
                </c:pt>
                <c:pt idx="30">
                  <c:v>2002.052179440361</c:v>
                </c:pt>
                <c:pt idx="31">
                  <c:v>2002.052179440361</c:v>
                </c:pt>
                <c:pt idx="32">
                  <c:v>2002.052179440361</c:v>
                </c:pt>
                <c:pt idx="33">
                  <c:v>2002.052179440361</c:v>
                </c:pt>
                <c:pt idx="34">
                  <c:v>2002.5993974616474</c:v>
                </c:pt>
                <c:pt idx="35">
                  <c:v>2002.5993974616474</c:v>
                </c:pt>
                <c:pt idx="36">
                  <c:v>2002.5993974616474</c:v>
                </c:pt>
                <c:pt idx="37">
                  <c:v>2002.5993974616474</c:v>
                </c:pt>
                <c:pt idx="38">
                  <c:v>2002.5993974616474</c:v>
                </c:pt>
                <c:pt idx="39">
                  <c:v>2002.5993974616474</c:v>
                </c:pt>
                <c:pt idx="40">
                  <c:v>2002.5993974616474</c:v>
                </c:pt>
                <c:pt idx="41">
                  <c:v>2002.5993974616474</c:v>
                </c:pt>
                <c:pt idx="42">
                  <c:v>2002.5993974616474</c:v>
                </c:pt>
                <c:pt idx="43">
                  <c:v>2002.5993974616474</c:v>
                </c:pt>
                <c:pt idx="44">
                  <c:v>2002.5993974616474</c:v>
                </c:pt>
                <c:pt idx="45">
                  <c:v>2002.5993974616474</c:v>
                </c:pt>
                <c:pt idx="46">
                  <c:v>2002.5993974616474</c:v>
                </c:pt>
                <c:pt idx="47">
                  <c:v>2002.5993974616474</c:v>
                </c:pt>
                <c:pt idx="48">
                  <c:v>2002.5993974616474</c:v>
                </c:pt>
                <c:pt idx="49">
                  <c:v>2002.5993974616474</c:v>
                </c:pt>
                <c:pt idx="50">
                  <c:v>2002.5993974616474</c:v>
                </c:pt>
                <c:pt idx="51">
                  <c:v>2001.5362474722031</c:v>
                </c:pt>
                <c:pt idx="52">
                  <c:v>2001.5362474722031</c:v>
                </c:pt>
                <c:pt idx="53">
                  <c:v>2001.5362474722031</c:v>
                </c:pt>
                <c:pt idx="54">
                  <c:v>2001.5362474722031</c:v>
                </c:pt>
                <c:pt idx="55">
                  <c:v>2001.5362474722031</c:v>
                </c:pt>
                <c:pt idx="56">
                  <c:v>2001.5362474722031</c:v>
                </c:pt>
                <c:pt idx="57">
                  <c:v>2001.5362474722031</c:v>
                </c:pt>
                <c:pt idx="58">
                  <c:v>2001.5362474722031</c:v>
                </c:pt>
                <c:pt idx="59">
                  <c:v>2001.5362474722031</c:v>
                </c:pt>
                <c:pt idx="60">
                  <c:v>2001.5362474722031</c:v>
                </c:pt>
                <c:pt idx="61">
                  <c:v>2001.5362474722031</c:v>
                </c:pt>
                <c:pt idx="62">
                  <c:v>2001.5362474722031</c:v>
                </c:pt>
                <c:pt idx="63">
                  <c:v>2001.5362474722031</c:v>
                </c:pt>
                <c:pt idx="64">
                  <c:v>2001.5362474722031</c:v>
                </c:pt>
                <c:pt idx="65">
                  <c:v>2001.5362474722031</c:v>
                </c:pt>
                <c:pt idx="66">
                  <c:v>2001.5362474722031</c:v>
                </c:pt>
                <c:pt idx="67">
                  <c:v>2001.5362474722031</c:v>
                </c:pt>
                <c:pt idx="68">
                  <c:v>2001.8589243111317</c:v>
                </c:pt>
                <c:pt idx="69">
                  <c:v>2001.8589243111317</c:v>
                </c:pt>
                <c:pt idx="70">
                  <c:v>2001.8589243111317</c:v>
                </c:pt>
                <c:pt idx="71">
                  <c:v>2001.8589243111317</c:v>
                </c:pt>
                <c:pt idx="72">
                  <c:v>2001.8589243111317</c:v>
                </c:pt>
                <c:pt idx="73">
                  <c:v>2001.8589243111317</c:v>
                </c:pt>
                <c:pt idx="74">
                  <c:v>2001.8589243111317</c:v>
                </c:pt>
                <c:pt idx="75">
                  <c:v>2001.8589243111317</c:v>
                </c:pt>
                <c:pt idx="76">
                  <c:v>2001.8589243111317</c:v>
                </c:pt>
                <c:pt idx="77">
                  <c:v>2001.8589243111317</c:v>
                </c:pt>
                <c:pt idx="78">
                  <c:v>2001.8589243111317</c:v>
                </c:pt>
                <c:pt idx="79">
                  <c:v>2001.8589243111317</c:v>
                </c:pt>
                <c:pt idx="80">
                  <c:v>2001.8589243111317</c:v>
                </c:pt>
                <c:pt idx="81">
                  <c:v>2001.8589243111317</c:v>
                </c:pt>
                <c:pt idx="82">
                  <c:v>2001.8589243111317</c:v>
                </c:pt>
                <c:pt idx="83">
                  <c:v>2001.8589243111317</c:v>
                </c:pt>
                <c:pt idx="84">
                  <c:v>2001.8589243111317</c:v>
                </c:pt>
                <c:pt idx="85">
                  <c:v>2004.6219681338005</c:v>
                </c:pt>
                <c:pt idx="86">
                  <c:v>2004.6219681338005</c:v>
                </c:pt>
                <c:pt idx="87">
                  <c:v>2004.6219681338005</c:v>
                </c:pt>
                <c:pt idx="88">
                  <c:v>2004.6219681338005</c:v>
                </c:pt>
                <c:pt idx="89">
                  <c:v>2004.6219681338005</c:v>
                </c:pt>
                <c:pt idx="90">
                  <c:v>2004.6219681338005</c:v>
                </c:pt>
                <c:pt idx="91">
                  <c:v>2004.6219681338005</c:v>
                </c:pt>
                <c:pt idx="92">
                  <c:v>2004.6219681338005</c:v>
                </c:pt>
                <c:pt idx="93">
                  <c:v>2004.6219681338005</c:v>
                </c:pt>
                <c:pt idx="94">
                  <c:v>2004.6219681338005</c:v>
                </c:pt>
                <c:pt idx="95">
                  <c:v>2004.6219681338005</c:v>
                </c:pt>
                <c:pt idx="96">
                  <c:v>2004.6219681338005</c:v>
                </c:pt>
                <c:pt idx="97">
                  <c:v>2004.6219681338005</c:v>
                </c:pt>
                <c:pt idx="98">
                  <c:v>2004.6219681338005</c:v>
                </c:pt>
                <c:pt idx="99">
                  <c:v>2004.6219681338005</c:v>
                </c:pt>
                <c:pt idx="100">
                  <c:v>2004.6219681338005</c:v>
                </c:pt>
                <c:pt idx="101">
                  <c:v>2004.6219681338005</c:v>
                </c:pt>
                <c:pt idx="102">
                  <c:v>2007.5776638489158</c:v>
                </c:pt>
                <c:pt idx="103">
                  <c:v>2007.5776638489158</c:v>
                </c:pt>
                <c:pt idx="104">
                  <c:v>2007.5776638489158</c:v>
                </c:pt>
                <c:pt idx="105">
                  <c:v>2007.5776638489158</c:v>
                </c:pt>
                <c:pt idx="106">
                  <c:v>2007.5776638489158</c:v>
                </c:pt>
                <c:pt idx="107">
                  <c:v>2007.5776638489158</c:v>
                </c:pt>
                <c:pt idx="108">
                  <c:v>2007.5776638489158</c:v>
                </c:pt>
                <c:pt idx="109">
                  <c:v>2007.5776638489158</c:v>
                </c:pt>
                <c:pt idx="110">
                  <c:v>2007.5776638489158</c:v>
                </c:pt>
                <c:pt idx="111">
                  <c:v>2007.5776638489158</c:v>
                </c:pt>
                <c:pt idx="112">
                  <c:v>2007.5776638489158</c:v>
                </c:pt>
                <c:pt idx="113">
                  <c:v>2007.5776638489158</c:v>
                </c:pt>
                <c:pt idx="114">
                  <c:v>2007.5776638489158</c:v>
                </c:pt>
                <c:pt idx="115">
                  <c:v>2007.5776638489158</c:v>
                </c:pt>
                <c:pt idx="116">
                  <c:v>2007.5776638489158</c:v>
                </c:pt>
                <c:pt idx="117">
                  <c:v>2007.5776638489158</c:v>
                </c:pt>
                <c:pt idx="118">
                  <c:v>2007.5776638489158</c:v>
                </c:pt>
                <c:pt idx="119">
                  <c:v>2007.7920048456788</c:v>
                </c:pt>
                <c:pt idx="120">
                  <c:v>2007.7920048456788</c:v>
                </c:pt>
                <c:pt idx="121">
                  <c:v>2007.7920048456788</c:v>
                </c:pt>
                <c:pt idx="122">
                  <c:v>2007.7920048456788</c:v>
                </c:pt>
                <c:pt idx="123">
                  <c:v>2007.7920048456788</c:v>
                </c:pt>
                <c:pt idx="124">
                  <c:v>2007.7920048456788</c:v>
                </c:pt>
                <c:pt idx="125">
                  <c:v>2007.7920048456788</c:v>
                </c:pt>
                <c:pt idx="126">
                  <c:v>2007.7920048456788</c:v>
                </c:pt>
                <c:pt idx="127">
                  <c:v>2007.7920048456788</c:v>
                </c:pt>
                <c:pt idx="128">
                  <c:v>2007.7920048456788</c:v>
                </c:pt>
                <c:pt idx="129">
                  <c:v>2007.7920048456788</c:v>
                </c:pt>
                <c:pt idx="130">
                  <c:v>2007.7920048456788</c:v>
                </c:pt>
                <c:pt idx="131">
                  <c:v>2007.7920048456788</c:v>
                </c:pt>
                <c:pt idx="132">
                  <c:v>2007.7920048456788</c:v>
                </c:pt>
                <c:pt idx="133">
                  <c:v>2007.7920048456788</c:v>
                </c:pt>
                <c:pt idx="134">
                  <c:v>2007.7920048456788</c:v>
                </c:pt>
                <c:pt idx="135">
                  <c:v>2007.7920048456788</c:v>
                </c:pt>
                <c:pt idx="136">
                  <c:v>2007.6858625918128</c:v>
                </c:pt>
                <c:pt idx="137">
                  <c:v>2007.6858625918128</c:v>
                </c:pt>
                <c:pt idx="138">
                  <c:v>2007.6858625918128</c:v>
                </c:pt>
                <c:pt idx="139">
                  <c:v>2007.6858625918128</c:v>
                </c:pt>
                <c:pt idx="140">
                  <c:v>2007.6858625918128</c:v>
                </c:pt>
                <c:pt idx="141">
                  <c:v>2007.6858625918128</c:v>
                </c:pt>
                <c:pt idx="142">
                  <c:v>2007.6858625918128</c:v>
                </c:pt>
                <c:pt idx="143">
                  <c:v>2007.6858625918128</c:v>
                </c:pt>
                <c:pt idx="144">
                  <c:v>2007.6858625918128</c:v>
                </c:pt>
                <c:pt idx="145">
                  <c:v>2007.6858625918128</c:v>
                </c:pt>
                <c:pt idx="146">
                  <c:v>2007.6858625918128</c:v>
                </c:pt>
                <c:pt idx="147">
                  <c:v>2007.6858625918128</c:v>
                </c:pt>
                <c:pt idx="148">
                  <c:v>2007.6858625918128</c:v>
                </c:pt>
                <c:pt idx="149">
                  <c:v>2007.6858625918128</c:v>
                </c:pt>
                <c:pt idx="150">
                  <c:v>2007.6858625918128</c:v>
                </c:pt>
                <c:pt idx="151">
                  <c:v>2007.6858625918128</c:v>
                </c:pt>
                <c:pt idx="152">
                  <c:v>2007.6858625918128</c:v>
                </c:pt>
                <c:pt idx="153">
                  <c:v>2007.4765942679937</c:v>
                </c:pt>
                <c:pt idx="154">
                  <c:v>2007.4765942679937</c:v>
                </c:pt>
                <c:pt idx="155">
                  <c:v>2007.4765942679937</c:v>
                </c:pt>
                <c:pt idx="156">
                  <c:v>2007.4765942679937</c:v>
                </c:pt>
                <c:pt idx="157">
                  <c:v>2007.4765942679937</c:v>
                </c:pt>
                <c:pt idx="158">
                  <c:v>2007.4765942679937</c:v>
                </c:pt>
                <c:pt idx="159">
                  <c:v>2007.4765942679937</c:v>
                </c:pt>
                <c:pt idx="160">
                  <c:v>2007.4765942679937</c:v>
                </c:pt>
                <c:pt idx="161">
                  <c:v>2007.4765942679937</c:v>
                </c:pt>
                <c:pt idx="162">
                  <c:v>2007.4765942679937</c:v>
                </c:pt>
                <c:pt idx="163">
                  <c:v>2007.4765942679937</c:v>
                </c:pt>
                <c:pt idx="164">
                  <c:v>2007.4765942679937</c:v>
                </c:pt>
                <c:pt idx="165">
                  <c:v>2007.4765942679937</c:v>
                </c:pt>
                <c:pt idx="166">
                  <c:v>2007.4765942679937</c:v>
                </c:pt>
                <c:pt idx="167">
                  <c:v>2007.4765942679937</c:v>
                </c:pt>
                <c:pt idx="168">
                  <c:v>2007.4765942679937</c:v>
                </c:pt>
                <c:pt idx="169">
                  <c:v>2007.4765942679937</c:v>
                </c:pt>
                <c:pt idx="170">
                  <c:v>2007.3958153788465</c:v>
                </c:pt>
                <c:pt idx="171">
                  <c:v>2007.3958153788465</c:v>
                </c:pt>
                <c:pt idx="172">
                  <c:v>2007.3958153788465</c:v>
                </c:pt>
                <c:pt idx="173">
                  <c:v>2007.3958153788465</c:v>
                </c:pt>
                <c:pt idx="174">
                  <c:v>2007.3958153788465</c:v>
                </c:pt>
                <c:pt idx="175">
                  <c:v>2007.3958153788465</c:v>
                </c:pt>
                <c:pt idx="176">
                  <c:v>2007.3958153788465</c:v>
                </c:pt>
                <c:pt idx="177">
                  <c:v>2007.3958153788465</c:v>
                </c:pt>
                <c:pt idx="178">
                  <c:v>2007.3958153788465</c:v>
                </c:pt>
                <c:pt idx="179">
                  <c:v>2007.3958153788465</c:v>
                </c:pt>
                <c:pt idx="180">
                  <c:v>2007.3958153788465</c:v>
                </c:pt>
                <c:pt idx="181">
                  <c:v>2007.3958153788465</c:v>
                </c:pt>
                <c:pt idx="182">
                  <c:v>2007.3958153788465</c:v>
                </c:pt>
                <c:pt idx="183">
                  <c:v>2007.3958153788465</c:v>
                </c:pt>
                <c:pt idx="184">
                  <c:v>2007.3958153788465</c:v>
                </c:pt>
                <c:pt idx="185">
                  <c:v>2007.3958153788465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36-194F-ACBA-74BDCEA01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241264"/>
        <c:axId val="672592495"/>
      </c:scatterChart>
      <c:valAx>
        <c:axId val="2082241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home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72592495"/>
        <c:crosses val="autoZero"/>
        <c:crossBetween val="midCat"/>
      </c:valAx>
      <c:valAx>
        <c:axId val="67259249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8224126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[1]Packers!$H$1</c:f>
              <c:strCache>
                <c:ptCount val="1"/>
                <c:pt idx="0">
                  <c:v>weekly attendance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[1]Packers!$G$2:$G$89</c:f>
              <c:numCache>
                <c:formatCode>General</c:formatCode>
                <c:ptCount val="88"/>
                <c:pt idx="0">
                  <c:v>1</c:v>
                </c:pt>
                <c:pt idx="1">
                  <c:v>3</c:v>
                </c:pt>
                <c:pt idx="2">
                  <c:v>5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15</c:v>
                </c:pt>
                <c:pt idx="7">
                  <c:v>17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8</c:v>
                </c:pt>
                <c:pt idx="12">
                  <c:v>10</c:v>
                </c:pt>
                <c:pt idx="13">
                  <c:v>13</c:v>
                </c:pt>
                <c:pt idx="14">
                  <c:v>15</c:v>
                </c:pt>
                <c:pt idx="15">
                  <c:v>16</c:v>
                </c:pt>
                <c:pt idx="16">
                  <c:v>1</c:v>
                </c:pt>
                <c:pt idx="17">
                  <c:v>4</c:v>
                </c:pt>
                <c:pt idx="18">
                  <c:v>7</c:v>
                </c:pt>
                <c:pt idx="19">
                  <c:v>9</c:v>
                </c:pt>
                <c:pt idx="20">
                  <c:v>10</c:v>
                </c:pt>
                <c:pt idx="21">
                  <c:v>13</c:v>
                </c:pt>
                <c:pt idx="22">
                  <c:v>14</c:v>
                </c:pt>
                <c:pt idx="23">
                  <c:v>16</c:v>
                </c:pt>
                <c:pt idx="24">
                  <c:v>1</c:v>
                </c:pt>
                <c:pt idx="25">
                  <c:v>2</c:v>
                </c:pt>
                <c:pt idx="26">
                  <c:v>5</c:v>
                </c:pt>
                <c:pt idx="27">
                  <c:v>6</c:v>
                </c:pt>
                <c:pt idx="28">
                  <c:v>10</c:v>
                </c:pt>
                <c:pt idx="29">
                  <c:v>12</c:v>
                </c:pt>
                <c:pt idx="30">
                  <c:v>14</c:v>
                </c:pt>
                <c:pt idx="31">
                  <c:v>17</c:v>
                </c:pt>
                <c:pt idx="32">
                  <c:v>2</c:v>
                </c:pt>
                <c:pt idx="33">
                  <c:v>4</c:v>
                </c:pt>
                <c:pt idx="34">
                  <c:v>5</c:v>
                </c:pt>
                <c:pt idx="35">
                  <c:v>7</c:v>
                </c:pt>
                <c:pt idx="36">
                  <c:v>10</c:v>
                </c:pt>
                <c:pt idx="37">
                  <c:v>12</c:v>
                </c:pt>
                <c:pt idx="38">
                  <c:v>14</c:v>
                </c:pt>
                <c:pt idx="39">
                  <c:v>15</c:v>
                </c:pt>
                <c:pt idx="40">
                  <c:v>2</c:v>
                </c:pt>
                <c:pt idx="41">
                  <c:v>3</c:v>
                </c:pt>
                <c:pt idx="42">
                  <c:v>5</c:v>
                </c:pt>
                <c:pt idx="43">
                  <c:v>9</c:v>
                </c:pt>
                <c:pt idx="44">
                  <c:v>11</c:v>
                </c:pt>
                <c:pt idx="45">
                  <c:v>14</c:v>
                </c:pt>
                <c:pt idx="46">
                  <c:v>16</c:v>
                </c:pt>
                <c:pt idx="47">
                  <c:v>17</c:v>
                </c:pt>
                <c:pt idx="48">
                  <c:v>1</c:v>
                </c:pt>
                <c:pt idx="49">
                  <c:v>2</c:v>
                </c:pt>
                <c:pt idx="50">
                  <c:v>5</c:v>
                </c:pt>
                <c:pt idx="51">
                  <c:v>8</c:v>
                </c:pt>
                <c:pt idx="52">
                  <c:v>11</c:v>
                </c:pt>
                <c:pt idx="53">
                  <c:v>13</c:v>
                </c:pt>
                <c:pt idx="54">
                  <c:v>15</c:v>
                </c:pt>
                <c:pt idx="55">
                  <c:v>16</c:v>
                </c:pt>
                <c:pt idx="56">
                  <c:v>1</c:v>
                </c:pt>
                <c:pt idx="57">
                  <c:v>3</c:v>
                </c:pt>
                <c:pt idx="58">
                  <c:v>5</c:v>
                </c:pt>
                <c:pt idx="59">
                  <c:v>6</c:v>
                </c:pt>
                <c:pt idx="60">
                  <c:v>10</c:v>
                </c:pt>
                <c:pt idx="61">
                  <c:v>11</c:v>
                </c:pt>
                <c:pt idx="62">
                  <c:v>14</c:v>
                </c:pt>
                <c:pt idx="63">
                  <c:v>17</c:v>
                </c:pt>
                <c:pt idx="64">
                  <c:v>1</c:v>
                </c:pt>
                <c:pt idx="65">
                  <c:v>3</c:v>
                </c:pt>
                <c:pt idx="66">
                  <c:v>5</c:v>
                </c:pt>
                <c:pt idx="67">
                  <c:v>7</c:v>
                </c:pt>
                <c:pt idx="68">
                  <c:v>11</c:v>
                </c:pt>
                <c:pt idx="69">
                  <c:v>13</c:v>
                </c:pt>
                <c:pt idx="70">
                  <c:v>14</c:v>
                </c:pt>
                <c:pt idx="71">
                  <c:v>17</c:v>
                </c:pt>
                <c:pt idx="72">
                  <c:v>1</c:v>
                </c:pt>
                <c:pt idx="73">
                  <c:v>2</c:v>
                </c:pt>
                <c:pt idx="74">
                  <c:v>6</c:v>
                </c:pt>
                <c:pt idx="75">
                  <c:v>8</c:v>
                </c:pt>
                <c:pt idx="76">
                  <c:v>10</c:v>
                </c:pt>
                <c:pt idx="77">
                  <c:v>11</c:v>
                </c:pt>
                <c:pt idx="78">
                  <c:v>13</c:v>
                </c:pt>
                <c:pt idx="79">
                  <c:v>16</c:v>
                </c:pt>
                <c:pt idx="80">
                  <c:v>2</c:v>
                </c:pt>
                <c:pt idx="81">
                  <c:v>4</c:v>
                </c:pt>
                <c:pt idx="82">
                  <c:v>6</c:v>
                </c:pt>
                <c:pt idx="83">
                  <c:v>7</c:v>
                </c:pt>
                <c:pt idx="84">
                  <c:v>9</c:v>
                </c:pt>
                <c:pt idx="85">
                  <c:v>13</c:v>
                </c:pt>
                <c:pt idx="86">
                  <c:v>16</c:v>
                </c:pt>
                <c:pt idx="87">
                  <c:v>17</c:v>
                </c:pt>
              </c:numCache>
            </c:numRef>
          </c:xVal>
          <c:yVal>
            <c:numRef>
              <c:f>[1]Packers!$H$2:$H$89</c:f>
              <c:numCache>
                <c:formatCode>General</c:formatCode>
                <c:ptCount val="88"/>
                <c:pt idx="0">
                  <c:v>59870</c:v>
                </c:pt>
                <c:pt idx="1">
                  <c:v>59869</c:v>
                </c:pt>
                <c:pt idx="2">
                  <c:v>59869</c:v>
                </c:pt>
                <c:pt idx="3">
                  <c:v>59870</c:v>
                </c:pt>
                <c:pt idx="4">
                  <c:v>59854</c:v>
                </c:pt>
                <c:pt idx="5">
                  <c:v>59869</c:v>
                </c:pt>
                <c:pt idx="6">
                  <c:v>59854</c:v>
                </c:pt>
                <c:pt idx="7">
                  <c:v>59692</c:v>
                </c:pt>
                <c:pt idx="8">
                  <c:v>59523</c:v>
                </c:pt>
                <c:pt idx="9">
                  <c:v>59771</c:v>
                </c:pt>
                <c:pt idx="10">
                  <c:v>59866</c:v>
                </c:pt>
                <c:pt idx="11">
                  <c:v>59861</c:v>
                </c:pt>
                <c:pt idx="12">
                  <c:v>59849</c:v>
                </c:pt>
                <c:pt idx="13">
                  <c:v>59869</c:v>
                </c:pt>
                <c:pt idx="14">
                  <c:v>59824</c:v>
                </c:pt>
                <c:pt idx="15">
                  <c:v>59870</c:v>
                </c:pt>
                <c:pt idx="16">
                  <c:v>63127</c:v>
                </c:pt>
                <c:pt idx="17">
                  <c:v>63329</c:v>
                </c:pt>
                <c:pt idx="18">
                  <c:v>63363</c:v>
                </c:pt>
                <c:pt idx="19">
                  <c:v>63284</c:v>
                </c:pt>
                <c:pt idx="20">
                  <c:v>63313</c:v>
                </c:pt>
                <c:pt idx="21">
                  <c:v>64196</c:v>
                </c:pt>
                <c:pt idx="22">
                  <c:v>64070</c:v>
                </c:pt>
                <c:pt idx="23">
                  <c:v>64106</c:v>
                </c:pt>
                <c:pt idx="24">
                  <c:v>70505</c:v>
                </c:pt>
                <c:pt idx="25">
                  <c:v>70244</c:v>
                </c:pt>
                <c:pt idx="26">
                  <c:v>70365</c:v>
                </c:pt>
                <c:pt idx="27">
                  <c:v>70407</c:v>
                </c:pt>
                <c:pt idx="28">
                  <c:v>70291</c:v>
                </c:pt>
                <c:pt idx="29">
                  <c:v>70250</c:v>
                </c:pt>
                <c:pt idx="30">
                  <c:v>70458</c:v>
                </c:pt>
                <c:pt idx="31">
                  <c:v>70299</c:v>
                </c:pt>
                <c:pt idx="32">
                  <c:v>70688</c:v>
                </c:pt>
                <c:pt idx="33">
                  <c:v>70623</c:v>
                </c:pt>
                <c:pt idx="34">
                  <c:v>70420</c:v>
                </c:pt>
                <c:pt idx="35">
                  <c:v>70679</c:v>
                </c:pt>
                <c:pt idx="36">
                  <c:v>70671</c:v>
                </c:pt>
                <c:pt idx="37">
                  <c:v>70385</c:v>
                </c:pt>
                <c:pt idx="38">
                  <c:v>70497</c:v>
                </c:pt>
                <c:pt idx="39">
                  <c:v>70437</c:v>
                </c:pt>
                <c:pt idx="40">
                  <c:v>70400</c:v>
                </c:pt>
                <c:pt idx="41">
                  <c:v>70518</c:v>
                </c:pt>
                <c:pt idx="42">
                  <c:v>70580</c:v>
                </c:pt>
                <c:pt idx="43">
                  <c:v>70607</c:v>
                </c:pt>
                <c:pt idx="44">
                  <c:v>70610</c:v>
                </c:pt>
                <c:pt idx="45">
                  <c:v>70019</c:v>
                </c:pt>
                <c:pt idx="46">
                  <c:v>69757</c:v>
                </c:pt>
                <c:pt idx="47">
                  <c:v>69928</c:v>
                </c:pt>
                <c:pt idx="48">
                  <c:v>70918</c:v>
                </c:pt>
                <c:pt idx="49">
                  <c:v>70602</c:v>
                </c:pt>
                <c:pt idx="50">
                  <c:v>70804</c:v>
                </c:pt>
                <c:pt idx="51">
                  <c:v>70809</c:v>
                </c:pt>
                <c:pt idx="52">
                  <c:v>70753</c:v>
                </c:pt>
                <c:pt idx="53">
                  <c:v>70527</c:v>
                </c:pt>
                <c:pt idx="54">
                  <c:v>70472</c:v>
                </c:pt>
                <c:pt idx="55">
                  <c:v>70864</c:v>
                </c:pt>
                <c:pt idx="56">
                  <c:v>70598</c:v>
                </c:pt>
                <c:pt idx="57">
                  <c:v>70733</c:v>
                </c:pt>
                <c:pt idx="58">
                  <c:v>70904</c:v>
                </c:pt>
                <c:pt idx="59">
                  <c:v>70761</c:v>
                </c:pt>
                <c:pt idx="60">
                  <c:v>70945</c:v>
                </c:pt>
                <c:pt idx="61">
                  <c:v>70805</c:v>
                </c:pt>
                <c:pt idx="62">
                  <c:v>70828</c:v>
                </c:pt>
                <c:pt idx="63">
                  <c:v>70869</c:v>
                </c:pt>
                <c:pt idx="64">
                  <c:v>71004</c:v>
                </c:pt>
                <c:pt idx="65">
                  <c:v>71113</c:v>
                </c:pt>
                <c:pt idx="66">
                  <c:v>70610</c:v>
                </c:pt>
                <c:pt idx="67">
                  <c:v>71010</c:v>
                </c:pt>
                <c:pt idx="68">
                  <c:v>71040</c:v>
                </c:pt>
                <c:pt idx="69">
                  <c:v>70297</c:v>
                </c:pt>
                <c:pt idx="70">
                  <c:v>70245</c:v>
                </c:pt>
                <c:pt idx="71">
                  <c:v>70141</c:v>
                </c:pt>
                <c:pt idx="72">
                  <c:v>70920</c:v>
                </c:pt>
                <c:pt idx="73">
                  <c:v>70678</c:v>
                </c:pt>
                <c:pt idx="74">
                  <c:v>70801</c:v>
                </c:pt>
                <c:pt idx="75">
                  <c:v>71213</c:v>
                </c:pt>
                <c:pt idx="76">
                  <c:v>70894</c:v>
                </c:pt>
                <c:pt idx="77">
                  <c:v>70445</c:v>
                </c:pt>
                <c:pt idx="78">
                  <c:v>70286</c:v>
                </c:pt>
                <c:pt idx="79">
                  <c:v>70429</c:v>
                </c:pt>
                <c:pt idx="80">
                  <c:v>70741</c:v>
                </c:pt>
                <c:pt idx="81">
                  <c:v>70729</c:v>
                </c:pt>
                <c:pt idx="82">
                  <c:v>70815</c:v>
                </c:pt>
                <c:pt idx="83">
                  <c:v>71107</c:v>
                </c:pt>
                <c:pt idx="84">
                  <c:v>70913</c:v>
                </c:pt>
                <c:pt idx="85">
                  <c:v>70575</c:v>
                </c:pt>
                <c:pt idx="86">
                  <c:v>70649</c:v>
                </c:pt>
                <c:pt idx="87">
                  <c:v>70833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49-6242-A7A3-9BAB64372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1980095"/>
        <c:axId val="2031995216"/>
      </c:scatterChart>
      <c:valAx>
        <c:axId val="261980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1995216"/>
        <c:crosses val="autoZero"/>
        <c:crossBetween val="midCat"/>
      </c:valAx>
      <c:valAx>
        <c:axId val="2031995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19800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5386206597624423"/>
          <c:y val="2.551217704245567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[1]Packers!$E$1</c:f>
              <c:strCache>
                <c:ptCount val="1"/>
                <c:pt idx="0">
                  <c:v>home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[1]Packers!$C$2:$C$89</c:f>
              <c:numCache>
                <c:formatCode>General</c:formatCode>
                <c:ptCount val="88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2001</c:v>
                </c:pt>
                <c:pt idx="9">
                  <c:v>2001</c:v>
                </c:pt>
                <c:pt idx="10">
                  <c:v>2001</c:v>
                </c:pt>
                <c:pt idx="11">
                  <c:v>2001</c:v>
                </c:pt>
                <c:pt idx="12">
                  <c:v>2001</c:v>
                </c:pt>
                <c:pt idx="13">
                  <c:v>2001</c:v>
                </c:pt>
                <c:pt idx="14">
                  <c:v>2001</c:v>
                </c:pt>
                <c:pt idx="15">
                  <c:v>2001</c:v>
                </c:pt>
                <c:pt idx="16">
                  <c:v>2002</c:v>
                </c:pt>
                <c:pt idx="17">
                  <c:v>2002</c:v>
                </c:pt>
                <c:pt idx="18">
                  <c:v>2002</c:v>
                </c:pt>
                <c:pt idx="19">
                  <c:v>2002</c:v>
                </c:pt>
                <c:pt idx="20">
                  <c:v>2002</c:v>
                </c:pt>
                <c:pt idx="21">
                  <c:v>2002</c:v>
                </c:pt>
                <c:pt idx="22">
                  <c:v>2002</c:v>
                </c:pt>
                <c:pt idx="23">
                  <c:v>2002</c:v>
                </c:pt>
                <c:pt idx="24">
                  <c:v>2003</c:v>
                </c:pt>
                <c:pt idx="25">
                  <c:v>2003</c:v>
                </c:pt>
                <c:pt idx="26">
                  <c:v>2003</c:v>
                </c:pt>
                <c:pt idx="27">
                  <c:v>2003</c:v>
                </c:pt>
                <c:pt idx="28">
                  <c:v>2003</c:v>
                </c:pt>
                <c:pt idx="29">
                  <c:v>2003</c:v>
                </c:pt>
                <c:pt idx="30">
                  <c:v>2003</c:v>
                </c:pt>
                <c:pt idx="31">
                  <c:v>2003</c:v>
                </c:pt>
                <c:pt idx="32">
                  <c:v>2004</c:v>
                </c:pt>
                <c:pt idx="33">
                  <c:v>2004</c:v>
                </c:pt>
                <c:pt idx="34">
                  <c:v>2004</c:v>
                </c:pt>
                <c:pt idx="35">
                  <c:v>2004</c:v>
                </c:pt>
                <c:pt idx="36">
                  <c:v>2004</c:v>
                </c:pt>
                <c:pt idx="37">
                  <c:v>2004</c:v>
                </c:pt>
                <c:pt idx="38">
                  <c:v>2004</c:v>
                </c:pt>
                <c:pt idx="39">
                  <c:v>2004</c:v>
                </c:pt>
                <c:pt idx="40">
                  <c:v>2005</c:v>
                </c:pt>
                <c:pt idx="41">
                  <c:v>2005</c:v>
                </c:pt>
                <c:pt idx="42">
                  <c:v>2005</c:v>
                </c:pt>
                <c:pt idx="43">
                  <c:v>2005</c:v>
                </c:pt>
                <c:pt idx="44">
                  <c:v>2005</c:v>
                </c:pt>
                <c:pt idx="45">
                  <c:v>2005</c:v>
                </c:pt>
                <c:pt idx="46">
                  <c:v>2005</c:v>
                </c:pt>
                <c:pt idx="47">
                  <c:v>2005</c:v>
                </c:pt>
                <c:pt idx="48">
                  <c:v>2006</c:v>
                </c:pt>
                <c:pt idx="49">
                  <c:v>2006</c:v>
                </c:pt>
                <c:pt idx="50">
                  <c:v>2006</c:v>
                </c:pt>
                <c:pt idx="51">
                  <c:v>2006</c:v>
                </c:pt>
                <c:pt idx="52">
                  <c:v>2006</c:v>
                </c:pt>
                <c:pt idx="53">
                  <c:v>2006</c:v>
                </c:pt>
                <c:pt idx="54">
                  <c:v>2006</c:v>
                </c:pt>
                <c:pt idx="55">
                  <c:v>2006</c:v>
                </c:pt>
                <c:pt idx="56">
                  <c:v>2007</c:v>
                </c:pt>
                <c:pt idx="57">
                  <c:v>2007</c:v>
                </c:pt>
                <c:pt idx="58">
                  <c:v>2007</c:v>
                </c:pt>
                <c:pt idx="59">
                  <c:v>2007</c:v>
                </c:pt>
                <c:pt idx="60">
                  <c:v>2007</c:v>
                </c:pt>
                <c:pt idx="61">
                  <c:v>2007</c:v>
                </c:pt>
                <c:pt idx="62">
                  <c:v>2007</c:v>
                </c:pt>
                <c:pt idx="63">
                  <c:v>2007</c:v>
                </c:pt>
                <c:pt idx="64">
                  <c:v>2008</c:v>
                </c:pt>
                <c:pt idx="65">
                  <c:v>2008</c:v>
                </c:pt>
                <c:pt idx="66">
                  <c:v>2008</c:v>
                </c:pt>
                <c:pt idx="67">
                  <c:v>2008</c:v>
                </c:pt>
                <c:pt idx="68">
                  <c:v>2008</c:v>
                </c:pt>
                <c:pt idx="69">
                  <c:v>2008</c:v>
                </c:pt>
                <c:pt idx="70">
                  <c:v>2008</c:v>
                </c:pt>
                <c:pt idx="71">
                  <c:v>2008</c:v>
                </c:pt>
                <c:pt idx="72">
                  <c:v>2009</c:v>
                </c:pt>
                <c:pt idx="73">
                  <c:v>2009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2010</c:v>
                </c:pt>
                <c:pt idx="81">
                  <c:v>2010</c:v>
                </c:pt>
                <c:pt idx="82">
                  <c:v>2010</c:v>
                </c:pt>
                <c:pt idx="83">
                  <c:v>2010</c:v>
                </c:pt>
                <c:pt idx="84">
                  <c:v>2010</c:v>
                </c:pt>
                <c:pt idx="85">
                  <c:v>2010</c:v>
                </c:pt>
                <c:pt idx="86">
                  <c:v>2010</c:v>
                </c:pt>
                <c:pt idx="87">
                  <c:v>2010</c:v>
                </c:pt>
              </c:numCache>
            </c:numRef>
          </c:cat>
          <c:val>
            <c:numRef>
              <c:f>[1]Packers!$E$2:$E$89</c:f>
              <c:numCache>
                <c:formatCode>General</c:formatCode>
                <c:ptCount val="88"/>
                <c:pt idx="0">
                  <c:v>478747</c:v>
                </c:pt>
                <c:pt idx="1">
                  <c:v>478747</c:v>
                </c:pt>
                <c:pt idx="2">
                  <c:v>478747</c:v>
                </c:pt>
                <c:pt idx="3">
                  <c:v>478747</c:v>
                </c:pt>
                <c:pt idx="4">
                  <c:v>478747</c:v>
                </c:pt>
                <c:pt idx="5">
                  <c:v>478747</c:v>
                </c:pt>
                <c:pt idx="6">
                  <c:v>478747</c:v>
                </c:pt>
                <c:pt idx="7">
                  <c:v>478747</c:v>
                </c:pt>
                <c:pt idx="8">
                  <c:v>478433</c:v>
                </c:pt>
                <c:pt idx="9">
                  <c:v>478433</c:v>
                </c:pt>
                <c:pt idx="10">
                  <c:v>478433</c:v>
                </c:pt>
                <c:pt idx="11">
                  <c:v>478433</c:v>
                </c:pt>
                <c:pt idx="12">
                  <c:v>478433</c:v>
                </c:pt>
                <c:pt idx="13">
                  <c:v>478433</c:v>
                </c:pt>
                <c:pt idx="14">
                  <c:v>478433</c:v>
                </c:pt>
                <c:pt idx="15">
                  <c:v>478433</c:v>
                </c:pt>
                <c:pt idx="16">
                  <c:v>508788</c:v>
                </c:pt>
                <c:pt idx="17">
                  <c:v>508788</c:v>
                </c:pt>
                <c:pt idx="18">
                  <c:v>508788</c:v>
                </c:pt>
                <c:pt idx="19">
                  <c:v>508788</c:v>
                </c:pt>
                <c:pt idx="20">
                  <c:v>508788</c:v>
                </c:pt>
                <c:pt idx="21">
                  <c:v>508788</c:v>
                </c:pt>
                <c:pt idx="22">
                  <c:v>508788</c:v>
                </c:pt>
                <c:pt idx="23">
                  <c:v>508788</c:v>
                </c:pt>
                <c:pt idx="24">
                  <c:v>562819</c:v>
                </c:pt>
                <c:pt idx="25">
                  <c:v>562819</c:v>
                </c:pt>
                <c:pt idx="26">
                  <c:v>562819</c:v>
                </c:pt>
                <c:pt idx="27">
                  <c:v>562819</c:v>
                </c:pt>
                <c:pt idx="28">
                  <c:v>562819</c:v>
                </c:pt>
                <c:pt idx="29">
                  <c:v>562819</c:v>
                </c:pt>
                <c:pt idx="30">
                  <c:v>562819</c:v>
                </c:pt>
                <c:pt idx="31">
                  <c:v>562819</c:v>
                </c:pt>
                <c:pt idx="32">
                  <c:v>564400</c:v>
                </c:pt>
                <c:pt idx="33">
                  <c:v>564400</c:v>
                </c:pt>
                <c:pt idx="34">
                  <c:v>564400</c:v>
                </c:pt>
                <c:pt idx="35">
                  <c:v>564400</c:v>
                </c:pt>
                <c:pt idx="36">
                  <c:v>564400</c:v>
                </c:pt>
                <c:pt idx="37">
                  <c:v>564400</c:v>
                </c:pt>
                <c:pt idx="38">
                  <c:v>564400</c:v>
                </c:pt>
                <c:pt idx="39">
                  <c:v>564400</c:v>
                </c:pt>
                <c:pt idx="40">
                  <c:v>562419</c:v>
                </c:pt>
                <c:pt idx="41">
                  <c:v>562419</c:v>
                </c:pt>
                <c:pt idx="42">
                  <c:v>562419</c:v>
                </c:pt>
                <c:pt idx="43">
                  <c:v>562419</c:v>
                </c:pt>
                <c:pt idx="44">
                  <c:v>562419</c:v>
                </c:pt>
                <c:pt idx="45">
                  <c:v>562419</c:v>
                </c:pt>
                <c:pt idx="46">
                  <c:v>562419</c:v>
                </c:pt>
                <c:pt idx="47">
                  <c:v>562419</c:v>
                </c:pt>
                <c:pt idx="48">
                  <c:v>565749</c:v>
                </c:pt>
                <c:pt idx="49">
                  <c:v>565749</c:v>
                </c:pt>
                <c:pt idx="50">
                  <c:v>565749</c:v>
                </c:pt>
                <c:pt idx="51">
                  <c:v>565749</c:v>
                </c:pt>
                <c:pt idx="52">
                  <c:v>565749</c:v>
                </c:pt>
                <c:pt idx="53">
                  <c:v>565749</c:v>
                </c:pt>
                <c:pt idx="54">
                  <c:v>565749</c:v>
                </c:pt>
                <c:pt idx="55">
                  <c:v>565749</c:v>
                </c:pt>
                <c:pt idx="56">
                  <c:v>566443</c:v>
                </c:pt>
                <c:pt idx="57">
                  <c:v>566443</c:v>
                </c:pt>
                <c:pt idx="58">
                  <c:v>566443</c:v>
                </c:pt>
                <c:pt idx="59">
                  <c:v>566443</c:v>
                </c:pt>
                <c:pt idx="60">
                  <c:v>566443</c:v>
                </c:pt>
                <c:pt idx="61">
                  <c:v>566443</c:v>
                </c:pt>
                <c:pt idx="62">
                  <c:v>566443</c:v>
                </c:pt>
                <c:pt idx="63">
                  <c:v>566443</c:v>
                </c:pt>
                <c:pt idx="64">
                  <c:v>565460</c:v>
                </c:pt>
                <c:pt idx="65">
                  <c:v>565460</c:v>
                </c:pt>
                <c:pt idx="66">
                  <c:v>565460</c:v>
                </c:pt>
                <c:pt idx="67">
                  <c:v>565460</c:v>
                </c:pt>
                <c:pt idx="68">
                  <c:v>565460</c:v>
                </c:pt>
                <c:pt idx="69">
                  <c:v>565460</c:v>
                </c:pt>
                <c:pt idx="70">
                  <c:v>565460</c:v>
                </c:pt>
                <c:pt idx="71">
                  <c:v>565460</c:v>
                </c:pt>
                <c:pt idx="72">
                  <c:v>565666</c:v>
                </c:pt>
                <c:pt idx="73">
                  <c:v>565666</c:v>
                </c:pt>
                <c:pt idx="74">
                  <c:v>565666</c:v>
                </c:pt>
                <c:pt idx="75">
                  <c:v>565666</c:v>
                </c:pt>
                <c:pt idx="76">
                  <c:v>565666</c:v>
                </c:pt>
                <c:pt idx="77">
                  <c:v>565666</c:v>
                </c:pt>
                <c:pt idx="78">
                  <c:v>565666</c:v>
                </c:pt>
                <c:pt idx="79">
                  <c:v>565666</c:v>
                </c:pt>
                <c:pt idx="80">
                  <c:v>566362</c:v>
                </c:pt>
                <c:pt idx="81">
                  <c:v>566362</c:v>
                </c:pt>
                <c:pt idx="82">
                  <c:v>566362</c:v>
                </c:pt>
                <c:pt idx="83">
                  <c:v>566362</c:v>
                </c:pt>
                <c:pt idx="84">
                  <c:v>566362</c:v>
                </c:pt>
                <c:pt idx="85">
                  <c:v>566362</c:v>
                </c:pt>
                <c:pt idx="86">
                  <c:v>566362</c:v>
                </c:pt>
                <c:pt idx="87">
                  <c:v>566362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5-4B4B-90B6-AFAC6EC2B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804959"/>
        <c:axId val="64762335"/>
      </c:lineChart>
      <c:catAx>
        <c:axId val="688804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762335"/>
        <c:crosses val="autoZero"/>
        <c:auto val="1"/>
        <c:lblAlgn val="ctr"/>
        <c:lblOffset val="100"/>
        <c:noMultiLvlLbl val="0"/>
      </c:catAx>
      <c:valAx>
        <c:axId val="64762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8049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[1]Patriots!$E$1</c:f>
              <c:strCache>
                <c:ptCount val="1"/>
                <c:pt idx="0">
                  <c:v>home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[1]Patriots!$C$2:$C$90</c:f>
              <c:numCache>
                <c:formatCode>General</c:formatCode>
                <c:ptCount val="89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2001</c:v>
                </c:pt>
                <c:pt idx="9">
                  <c:v>2001</c:v>
                </c:pt>
                <c:pt idx="10">
                  <c:v>2001</c:v>
                </c:pt>
                <c:pt idx="11">
                  <c:v>2001</c:v>
                </c:pt>
                <c:pt idx="12">
                  <c:v>2001</c:v>
                </c:pt>
                <c:pt idx="13">
                  <c:v>2001</c:v>
                </c:pt>
                <c:pt idx="14">
                  <c:v>2001</c:v>
                </c:pt>
                <c:pt idx="15">
                  <c:v>2001</c:v>
                </c:pt>
                <c:pt idx="16">
                  <c:v>2002</c:v>
                </c:pt>
                <c:pt idx="17">
                  <c:v>2002</c:v>
                </c:pt>
                <c:pt idx="18">
                  <c:v>2002</c:v>
                </c:pt>
                <c:pt idx="19">
                  <c:v>2002</c:v>
                </c:pt>
                <c:pt idx="20">
                  <c:v>2002</c:v>
                </c:pt>
                <c:pt idx="21">
                  <c:v>2002</c:v>
                </c:pt>
                <c:pt idx="22">
                  <c:v>2002</c:v>
                </c:pt>
                <c:pt idx="23">
                  <c:v>2002</c:v>
                </c:pt>
                <c:pt idx="24">
                  <c:v>2002</c:v>
                </c:pt>
                <c:pt idx="25">
                  <c:v>2003</c:v>
                </c:pt>
                <c:pt idx="26">
                  <c:v>2003</c:v>
                </c:pt>
                <c:pt idx="27">
                  <c:v>2003</c:v>
                </c:pt>
                <c:pt idx="28">
                  <c:v>2003</c:v>
                </c:pt>
                <c:pt idx="29">
                  <c:v>2003</c:v>
                </c:pt>
                <c:pt idx="30">
                  <c:v>2003</c:v>
                </c:pt>
                <c:pt idx="31">
                  <c:v>2003</c:v>
                </c:pt>
                <c:pt idx="32">
                  <c:v>2003</c:v>
                </c:pt>
                <c:pt idx="33">
                  <c:v>2004</c:v>
                </c:pt>
                <c:pt idx="34">
                  <c:v>2004</c:v>
                </c:pt>
                <c:pt idx="35">
                  <c:v>2004</c:v>
                </c:pt>
                <c:pt idx="36">
                  <c:v>2004</c:v>
                </c:pt>
                <c:pt idx="37">
                  <c:v>2004</c:v>
                </c:pt>
                <c:pt idx="38">
                  <c:v>2004</c:v>
                </c:pt>
                <c:pt idx="39">
                  <c:v>2004</c:v>
                </c:pt>
                <c:pt idx="40">
                  <c:v>2004</c:v>
                </c:pt>
                <c:pt idx="41">
                  <c:v>2005</c:v>
                </c:pt>
                <c:pt idx="42">
                  <c:v>2005</c:v>
                </c:pt>
                <c:pt idx="43">
                  <c:v>2005</c:v>
                </c:pt>
                <c:pt idx="44">
                  <c:v>2005</c:v>
                </c:pt>
                <c:pt idx="45">
                  <c:v>2005</c:v>
                </c:pt>
                <c:pt idx="46">
                  <c:v>2005</c:v>
                </c:pt>
                <c:pt idx="47">
                  <c:v>2005</c:v>
                </c:pt>
                <c:pt idx="48">
                  <c:v>2005</c:v>
                </c:pt>
                <c:pt idx="49">
                  <c:v>2006</c:v>
                </c:pt>
                <c:pt idx="50">
                  <c:v>2006</c:v>
                </c:pt>
                <c:pt idx="51">
                  <c:v>2006</c:v>
                </c:pt>
                <c:pt idx="52">
                  <c:v>2006</c:v>
                </c:pt>
                <c:pt idx="53">
                  <c:v>2006</c:v>
                </c:pt>
                <c:pt idx="54">
                  <c:v>2006</c:v>
                </c:pt>
                <c:pt idx="55">
                  <c:v>2006</c:v>
                </c:pt>
                <c:pt idx="56">
                  <c:v>2006</c:v>
                </c:pt>
                <c:pt idx="57">
                  <c:v>2007</c:v>
                </c:pt>
                <c:pt idx="58">
                  <c:v>2007</c:v>
                </c:pt>
                <c:pt idx="59">
                  <c:v>2007</c:v>
                </c:pt>
                <c:pt idx="60">
                  <c:v>2007</c:v>
                </c:pt>
                <c:pt idx="61">
                  <c:v>2007</c:v>
                </c:pt>
                <c:pt idx="62">
                  <c:v>2007</c:v>
                </c:pt>
                <c:pt idx="63">
                  <c:v>2007</c:v>
                </c:pt>
                <c:pt idx="64">
                  <c:v>2007</c:v>
                </c:pt>
                <c:pt idx="65">
                  <c:v>2008</c:v>
                </c:pt>
                <c:pt idx="66">
                  <c:v>2008</c:v>
                </c:pt>
                <c:pt idx="67">
                  <c:v>2008</c:v>
                </c:pt>
                <c:pt idx="68">
                  <c:v>2008</c:v>
                </c:pt>
                <c:pt idx="69">
                  <c:v>2008</c:v>
                </c:pt>
                <c:pt idx="70">
                  <c:v>2008</c:v>
                </c:pt>
                <c:pt idx="71">
                  <c:v>2008</c:v>
                </c:pt>
                <c:pt idx="72">
                  <c:v>2008</c:v>
                </c:pt>
                <c:pt idx="73">
                  <c:v>2009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2009</c:v>
                </c:pt>
                <c:pt idx="81">
                  <c:v>2010</c:v>
                </c:pt>
                <c:pt idx="82">
                  <c:v>2010</c:v>
                </c:pt>
                <c:pt idx="83">
                  <c:v>2010</c:v>
                </c:pt>
                <c:pt idx="84">
                  <c:v>2010</c:v>
                </c:pt>
                <c:pt idx="85">
                  <c:v>2010</c:v>
                </c:pt>
                <c:pt idx="86">
                  <c:v>2010</c:v>
                </c:pt>
                <c:pt idx="87">
                  <c:v>2010</c:v>
                </c:pt>
                <c:pt idx="88">
                  <c:v>2010</c:v>
                </c:pt>
              </c:numCache>
            </c:numRef>
          </c:cat>
          <c:val>
            <c:numRef>
              <c:f>[1]Patriots!$E$2:$E$90</c:f>
              <c:numCache>
                <c:formatCode>General</c:formatCode>
                <c:ptCount val="89"/>
                <c:pt idx="0">
                  <c:v>482336</c:v>
                </c:pt>
                <c:pt idx="1">
                  <c:v>482336</c:v>
                </c:pt>
                <c:pt idx="2">
                  <c:v>482336</c:v>
                </c:pt>
                <c:pt idx="3">
                  <c:v>482336</c:v>
                </c:pt>
                <c:pt idx="4">
                  <c:v>482336</c:v>
                </c:pt>
                <c:pt idx="5">
                  <c:v>482336</c:v>
                </c:pt>
                <c:pt idx="6">
                  <c:v>482336</c:v>
                </c:pt>
                <c:pt idx="7">
                  <c:v>482336</c:v>
                </c:pt>
                <c:pt idx="8">
                  <c:v>482336</c:v>
                </c:pt>
                <c:pt idx="9">
                  <c:v>482336</c:v>
                </c:pt>
                <c:pt idx="10">
                  <c:v>482336</c:v>
                </c:pt>
                <c:pt idx="11">
                  <c:v>482336</c:v>
                </c:pt>
                <c:pt idx="12">
                  <c:v>482336</c:v>
                </c:pt>
                <c:pt idx="13">
                  <c:v>482336</c:v>
                </c:pt>
                <c:pt idx="14">
                  <c:v>482336</c:v>
                </c:pt>
                <c:pt idx="15">
                  <c:v>482336</c:v>
                </c:pt>
                <c:pt idx="16">
                  <c:v>547488</c:v>
                </c:pt>
                <c:pt idx="17">
                  <c:v>547488</c:v>
                </c:pt>
                <c:pt idx="18">
                  <c:v>547488</c:v>
                </c:pt>
                <c:pt idx="19">
                  <c:v>547488</c:v>
                </c:pt>
                <c:pt idx="20">
                  <c:v>547488</c:v>
                </c:pt>
                <c:pt idx="21">
                  <c:v>547488</c:v>
                </c:pt>
                <c:pt idx="22">
                  <c:v>547488</c:v>
                </c:pt>
                <c:pt idx="23">
                  <c:v>547488</c:v>
                </c:pt>
                <c:pt idx="24">
                  <c:v>547488</c:v>
                </c:pt>
                <c:pt idx="25">
                  <c:v>547488</c:v>
                </c:pt>
                <c:pt idx="26">
                  <c:v>547488</c:v>
                </c:pt>
                <c:pt idx="27">
                  <c:v>547488</c:v>
                </c:pt>
                <c:pt idx="28">
                  <c:v>547488</c:v>
                </c:pt>
                <c:pt idx="29">
                  <c:v>547488</c:v>
                </c:pt>
                <c:pt idx="30">
                  <c:v>547488</c:v>
                </c:pt>
                <c:pt idx="31">
                  <c:v>547488</c:v>
                </c:pt>
                <c:pt idx="32">
                  <c:v>547488</c:v>
                </c:pt>
                <c:pt idx="33">
                  <c:v>550048</c:v>
                </c:pt>
                <c:pt idx="34">
                  <c:v>550048</c:v>
                </c:pt>
                <c:pt idx="35">
                  <c:v>550048</c:v>
                </c:pt>
                <c:pt idx="36">
                  <c:v>550048</c:v>
                </c:pt>
                <c:pt idx="37">
                  <c:v>550048</c:v>
                </c:pt>
                <c:pt idx="38">
                  <c:v>550048</c:v>
                </c:pt>
                <c:pt idx="39">
                  <c:v>550048</c:v>
                </c:pt>
                <c:pt idx="40">
                  <c:v>550048</c:v>
                </c:pt>
                <c:pt idx="41">
                  <c:v>550048</c:v>
                </c:pt>
                <c:pt idx="42">
                  <c:v>550048</c:v>
                </c:pt>
                <c:pt idx="43">
                  <c:v>550048</c:v>
                </c:pt>
                <c:pt idx="44">
                  <c:v>550048</c:v>
                </c:pt>
                <c:pt idx="45">
                  <c:v>550048</c:v>
                </c:pt>
                <c:pt idx="46">
                  <c:v>550048</c:v>
                </c:pt>
                <c:pt idx="47">
                  <c:v>550048</c:v>
                </c:pt>
                <c:pt idx="48">
                  <c:v>550048</c:v>
                </c:pt>
                <c:pt idx="49">
                  <c:v>550048</c:v>
                </c:pt>
                <c:pt idx="50">
                  <c:v>550048</c:v>
                </c:pt>
                <c:pt idx="51">
                  <c:v>550048</c:v>
                </c:pt>
                <c:pt idx="52">
                  <c:v>550048</c:v>
                </c:pt>
                <c:pt idx="53">
                  <c:v>550048</c:v>
                </c:pt>
                <c:pt idx="54">
                  <c:v>550048</c:v>
                </c:pt>
                <c:pt idx="55">
                  <c:v>550048</c:v>
                </c:pt>
                <c:pt idx="56">
                  <c:v>550048</c:v>
                </c:pt>
                <c:pt idx="57">
                  <c:v>550048</c:v>
                </c:pt>
                <c:pt idx="58">
                  <c:v>550048</c:v>
                </c:pt>
                <c:pt idx="59">
                  <c:v>550048</c:v>
                </c:pt>
                <c:pt idx="60">
                  <c:v>550048</c:v>
                </c:pt>
                <c:pt idx="61">
                  <c:v>550048</c:v>
                </c:pt>
                <c:pt idx="62">
                  <c:v>550048</c:v>
                </c:pt>
                <c:pt idx="63">
                  <c:v>550048</c:v>
                </c:pt>
                <c:pt idx="64">
                  <c:v>550048</c:v>
                </c:pt>
                <c:pt idx="65">
                  <c:v>550048</c:v>
                </c:pt>
                <c:pt idx="66">
                  <c:v>550048</c:v>
                </c:pt>
                <c:pt idx="67">
                  <c:v>550048</c:v>
                </c:pt>
                <c:pt idx="68">
                  <c:v>550048</c:v>
                </c:pt>
                <c:pt idx="69">
                  <c:v>550048</c:v>
                </c:pt>
                <c:pt idx="70">
                  <c:v>550048</c:v>
                </c:pt>
                <c:pt idx="71">
                  <c:v>550048</c:v>
                </c:pt>
                <c:pt idx="72">
                  <c:v>550048</c:v>
                </c:pt>
                <c:pt idx="73">
                  <c:v>550048</c:v>
                </c:pt>
                <c:pt idx="74">
                  <c:v>550048</c:v>
                </c:pt>
                <c:pt idx="75">
                  <c:v>550048</c:v>
                </c:pt>
                <c:pt idx="76">
                  <c:v>550048</c:v>
                </c:pt>
                <c:pt idx="77">
                  <c:v>550048</c:v>
                </c:pt>
                <c:pt idx="78">
                  <c:v>550048</c:v>
                </c:pt>
                <c:pt idx="79">
                  <c:v>550048</c:v>
                </c:pt>
                <c:pt idx="80">
                  <c:v>550048</c:v>
                </c:pt>
                <c:pt idx="81">
                  <c:v>550048</c:v>
                </c:pt>
                <c:pt idx="82">
                  <c:v>550048</c:v>
                </c:pt>
                <c:pt idx="83">
                  <c:v>550048</c:v>
                </c:pt>
                <c:pt idx="84">
                  <c:v>550048</c:v>
                </c:pt>
                <c:pt idx="85">
                  <c:v>550048</c:v>
                </c:pt>
                <c:pt idx="86">
                  <c:v>550048</c:v>
                </c:pt>
                <c:pt idx="87">
                  <c:v>550048</c:v>
                </c:pt>
                <c:pt idx="88">
                  <c:v>550048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69-544D-ADEB-1E0466DD1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0553583"/>
        <c:axId val="681605663"/>
      </c:lineChart>
      <c:catAx>
        <c:axId val="11305535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605663"/>
        <c:crosses val="autoZero"/>
        <c:auto val="1"/>
        <c:lblAlgn val="ctr"/>
        <c:lblOffset val="100"/>
        <c:noMultiLvlLbl val="0"/>
      </c:catAx>
      <c:valAx>
        <c:axId val="6816056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05535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[1]Patriots!$H$1</c:f>
              <c:strCache>
                <c:ptCount val="1"/>
                <c:pt idx="0">
                  <c:v>weekly_attendance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[1]Patriots!$G$2:$G$90</c:f>
              <c:numCache>
                <c:formatCode>General</c:formatCode>
                <c:ptCount val="89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7</c:v>
                </c:pt>
                <c:pt idx="4">
                  <c:v>10</c:v>
                </c:pt>
                <c:pt idx="5">
                  <c:v>12</c:v>
                </c:pt>
                <c:pt idx="6">
                  <c:v>14</c:v>
                </c:pt>
                <c:pt idx="7">
                  <c:v>17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9</c:v>
                </c:pt>
                <c:pt idx="12">
                  <c:v>10</c:v>
                </c:pt>
                <c:pt idx="13">
                  <c:v>11</c:v>
                </c:pt>
                <c:pt idx="14">
                  <c:v>13</c:v>
                </c:pt>
                <c:pt idx="15">
                  <c:v>15</c:v>
                </c:pt>
                <c:pt idx="16">
                  <c:v>1</c:v>
                </c:pt>
                <c:pt idx="17">
                  <c:v>3</c:v>
                </c:pt>
                <c:pt idx="18">
                  <c:v>6</c:v>
                </c:pt>
                <c:pt idx="19">
                  <c:v>8</c:v>
                </c:pt>
                <c:pt idx="20">
                  <c:v>11</c:v>
                </c:pt>
                <c:pt idx="21">
                  <c:v>12</c:v>
                </c:pt>
                <c:pt idx="22">
                  <c:v>14</c:v>
                </c:pt>
                <c:pt idx="23">
                  <c:v>16</c:v>
                </c:pt>
                <c:pt idx="24">
                  <c:v>17</c:v>
                </c:pt>
                <c:pt idx="25">
                  <c:v>3</c:v>
                </c:pt>
                <c:pt idx="26">
                  <c:v>5</c:v>
                </c:pt>
                <c:pt idx="27">
                  <c:v>6</c:v>
                </c:pt>
                <c:pt idx="28">
                  <c:v>8</c:v>
                </c:pt>
                <c:pt idx="29">
                  <c:v>11</c:v>
                </c:pt>
                <c:pt idx="30">
                  <c:v>14</c:v>
                </c:pt>
                <c:pt idx="31">
                  <c:v>15</c:v>
                </c:pt>
                <c:pt idx="32">
                  <c:v>17</c:v>
                </c:pt>
                <c:pt idx="33">
                  <c:v>1</c:v>
                </c:pt>
                <c:pt idx="34">
                  <c:v>5</c:v>
                </c:pt>
                <c:pt idx="35">
                  <c:v>6</c:v>
                </c:pt>
                <c:pt idx="36">
                  <c:v>7</c:v>
                </c:pt>
                <c:pt idx="37">
                  <c:v>10</c:v>
                </c:pt>
                <c:pt idx="38">
                  <c:v>12</c:v>
                </c:pt>
                <c:pt idx="39">
                  <c:v>14</c:v>
                </c:pt>
                <c:pt idx="40">
                  <c:v>17</c:v>
                </c:pt>
                <c:pt idx="41">
                  <c:v>1</c:v>
                </c:pt>
                <c:pt idx="42">
                  <c:v>4</c:v>
                </c:pt>
                <c:pt idx="43">
                  <c:v>8</c:v>
                </c:pt>
                <c:pt idx="44">
                  <c:v>9</c:v>
                </c:pt>
                <c:pt idx="45">
                  <c:v>11</c:v>
                </c:pt>
                <c:pt idx="46">
                  <c:v>13</c:v>
                </c:pt>
                <c:pt idx="47">
                  <c:v>15</c:v>
                </c:pt>
                <c:pt idx="48">
                  <c:v>17</c:v>
                </c:pt>
                <c:pt idx="49">
                  <c:v>1</c:v>
                </c:pt>
                <c:pt idx="50">
                  <c:v>3</c:v>
                </c:pt>
                <c:pt idx="51">
                  <c:v>5</c:v>
                </c:pt>
                <c:pt idx="52">
                  <c:v>9</c:v>
                </c:pt>
                <c:pt idx="53">
                  <c:v>10</c:v>
                </c:pt>
                <c:pt idx="54">
                  <c:v>12</c:v>
                </c:pt>
                <c:pt idx="55">
                  <c:v>13</c:v>
                </c:pt>
                <c:pt idx="56">
                  <c:v>15</c:v>
                </c:pt>
                <c:pt idx="57">
                  <c:v>2</c:v>
                </c:pt>
                <c:pt idx="58">
                  <c:v>3</c:v>
                </c:pt>
                <c:pt idx="59">
                  <c:v>5</c:v>
                </c:pt>
                <c:pt idx="60">
                  <c:v>8</c:v>
                </c:pt>
                <c:pt idx="61">
                  <c:v>12</c:v>
                </c:pt>
                <c:pt idx="62">
                  <c:v>14</c:v>
                </c:pt>
                <c:pt idx="63">
                  <c:v>15</c:v>
                </c:pt>
                <c:pt idx="64">
                  <c:v>16</c:v>
                </c:pt>
                <c:pt idx="65">
                  <c:v>1</c:v>
                </c:pt>
                <c:pt idx="66">
                  <c:v>3</c:v>
                </c:pt>
                <c:pt idx="67">
                  <c:v>7</c:v>
                </c:pt>
                <c:pt idx="68">
                  <c:v>8</c:v>
                </c:pt>
                <c:pt idx="69">
                  <c:v>10</c:v>
                </c:pt>
                <c:pt idx="70">
                  <c:v>11</c:v>
                </c:pt>
                <c:pt idx="71">
                  <c:v>13</c:v>
                </c:pt>
                <c:pt idx="72">
                  <c:v>16</c:v>
                </c:pt>
                <c:pt idx="73">
                  <c:v>1</c:v>
                </c:pt>
                <c:pt idx="74">
                  <c:v>3</c:v>
                </c:pt>
                <c:pt idx="75">
                  <c:v>4</c:v>
                </c:pt>
                <c:pt idx="76">
                  <c:v>6</c:v>
                </c:pt>
                <c:pt idx="77">
                  <c:v>9</c:v>
                </c:pt>
                <c:pt idx="78">
                  <c:v>11</c:v>
                </c:pt>
                <c:pt idx="79">
                  <c:v>14</c:v>
                </c:pt>
                <c:pt idx="80">
                  <c:v>16</c:v>
                </c:pt>
                <c:pt idx="81">
                  <c:v>1</c:v>
                </c:pt>
                <c:pt idx="82">
                  <c:v>3</c:v>
                </c:pt>
                <c:pt idx="83">
                  <c:v>6</c:v>
                </c:pt>
                <c:pt idx="84">
                  <c:v>8</c:v>
                </c:pt>
                <c:pt idx="85">
                  <c:v>11</c:v>
                </c:pt>
                <c:pt idx="86">
                  <c:v>13</c:v>
                </c:pt>
                <c:pt idx="87">
                  <c:v>15</c:v>
                </c:pt>
                <c:pt idx="88">
                  <c:v>17</c:v>
                </c:pt>
              </c:numCache>
            </c:numRef>
          </c:xVal>
          <c:yVal>
            <c:numRef>
              <c:f>[1]Patriots!$H$2:$H$90</c:f>
              <c:numCache>
                <c:formatCode>General</c:formatCode>
                <c:ptCount val="89"/>
                <c:pt idx="0">
                  <c:v>60292</c:v>
                </c:pt>
                <c:pt idx="1">
                  <c:v>60292</c:v>
                </c:pt>
                <c:pt idx="2">
                  <c:v>60292</c:v>
                </c:pt>
                <c:pt idx="3">
                  <c:v>60292</c:v>
                </c:pt>
                <c:pt idx="4">
                  <c:v>60292</c:v>
                </c:pt>
                <c:pt idx="5">
                  <c:v>60292</c:v>
                </c:pt>
                <c:pt idx="6">
                  <c:v>60292</c:v>
                </c:pt>
                <c:pt idx="7">
                  <c:v>60292</c:v>
                </c:pt>
                <c:pt idx="8">
                  <c:v>60292</c:v>
                </c:pt>
                <c:pt idx="9">
                  <c:v>60292</c:v>
                </c:pt>
                <c:pt idx="10">
                  <c:v>60292</c:v>
                </c:pt>
                <c:pt idx="11">
                  <c:v>60292</c:v>
                </c:pt>
                <c:pt idx="12">
                  <c:v>60292</c:v>
                </c:pt>
                <c:pt idx="13">
                  <c:v>60292</c:v>
                </c:pt>
                <c:pt idx="14">
                  <c:v>60292</c:v>
                </c:pt>
                <c:pt idx="15">
                  <c:v>60292</c:v>
                </c:pt>
                <c:pt idx="16">
                  <c:v>68436</c:v>
                </c:pt>
                <c:pt idx="17">
                  <c:v>68436</c:v>
                </c:pt>
                <c:pt idx="18">
                  <c:v>68436</c:v>
                </c:pt>
                <c:pt idx="19">
                  <c:v>68436</c:v>
                </c:pt>
                <c:pt idx="20">
                  <c:v>62552</c:v>
                </c:pt>
                <c:pt idx="21">
                  <c:v>68436</c:v>
                </c:pt>
                <c:pt idx="22">
                  <c:v>68436</c:v>
                </c:pt>
                <c:pt idx="23">
                  <c:v>68436</c:v>
                </c:pt>
                <c:pt idx="24">
                  <c:v>68436</c:v>
                </c:pt>
                <c:pt idx="25">
                  <c:v>68436</c:v>
                </c:pt>
                <c:pt idx="26">
                  <c:v>68436</c:v>
                </c:pt>
                <c:pt idx="27">
                  <c:v>68436</c:v>
                </c:pt>
                <c:pt idx="28">
                  <c:v>68436</c:v>
                </c:pt>
                <c:pt idx="29">
                  <c:v>68436</c:v>
                </c:pt>
                <c:pt idx="30">
                  <c:v>68436</c:v>
                </c:pt>
                <c:pt idx="31">
                  <c:v>68436</c:v>
                </c:pt>
                <c:pt idx="32">
                  <c:v>68436</c:v>
                </c:pt>
                <c:pt idx="33">
                  <c:v>68756</c:v>
                </c:pt>
                <c:pt idx="34">
                  <c:v>68756</c:v>
                </c:pt>
                <c:pt idx="35">
                  <c:v>68756</c:v>
                </c:pt>
                <c:pt idx="36">
                  <c:v>68756</c:v>
                </c:pt>
                <c:pt idx="37">
                  <c:v>68756</c:v>
                </c:pt>
                <c:pt idx="38">
                  <c:v>68756</c:v>
                </c:pt>
                <c:pt idx="39">
                  <c:v>68756</c:v>
                </c:pt>
                <c:pt idx="40">
                  <c:v>68756</c:v>
                </c:pt>
                <c:pt idx="41">
                  <c:v>68756</c:v>
                </c:pt>
                <c:pt idx="42">
                  <c:v>68756</c:v>
                </c:pt>
                <c:pt idx="43">
                  <c:v>68756</c:v>
                </c:pt>
                <c:pt idx="44">
                  <c:v>68756</c:v>
                </c:pt>
                <c:pt idx="45">
                  <c:v>68756</c:v>
                </c:pt>
                <c:pt idx="46">
                  <c:v>68756</c:v>
                </c:pt>
                <c:pt idx="47">
                  <c:v>68756</c:v>
                </c:pt>
                <c:pt idx="48">
                  <c:v>68756</c:v>
                </c:pt>
                <c:pt idx="49">
                  <c:v>68756</c:v>
                </c:pt>
                <c:pt idx="50">
                  <c:v>68756</c:v>
                </c:pt>
                <c:pt idx="51">
                  <c:v>68756</c:v>
                </c:pt>
                <c:pt idx="52">
                  <c:v>68756</c:v>
                </c:pt>
                <c:pt idx="53">
                  <c:v>68756</c:v>
                </c:pt>
                <c:pt idx="54">
                  <c:v>68756</c:v>
                </c:pt>
                <c:pt idx="55">
                  <c:v>68756</c:v>
                </c:pt>
                <c:pt idx="56">
                  <c:v>68756</c:v>
                </c:pt>
                <c:pt idx="57">
                  <c:v>68756</c:v>
                </c:pt>
                <c:pt idx="58">
                  <c:v>68756</c:v>
                </c:pt>
                <c:pt idx="59">
                  <c:v>68756</c:v>
                </c:pt>
                <c:pt idx="60">
                  <c:v>68756</c:v>
                </c:pt>
                <c:pt idx="61">
                  <c:v>68756</c:v>
                </c:pt>
                <c:pt idx="62">
                  <c:v>68756</c:v>
                </c:pt>
                <c:pt idx="63">
                  <c:v>68756</c:v>
                </c:pt>
                <c:pt idx="64">
                  <c:v>68756</c:v>
                </c:pt>
                <c:pt idx="65">
                  <c:v>68756</c:v>
                </c:pt>
                <c:pt idx="66">
                  <c:v>68756</c:v>
                </c:pt>
                <c:pt idx="67">
                  <c:v>68756</c:v>
                </c:pt>
                <c:pt idx="68">
                  <c:v>68756</c:v>
                </c:pt>
                <c:pt idx="69">
                  <c:v>68756</c:v>
                </c:pt>
                <c:pt idx="70">
                  <c:v>68756</c:v>
                </c:pt>
                <c:pt idx="71">
                  <c:v>68756</c:v>
                </c:pt>
                <c:pt idx="72">
                  <c:v>68756</c:v>
                </c:pt>
                <c:pt idx="73">
                  <c:v>68756</c:v>
                </c:pt>
                <c:pt idx="74">
                  <c:v>68756</c:v>
                </c:pt>
                <c:pt idx="75">
                  <c:v>68756</c:v>
                </c:pt>
                <c:pt idx="76">
                  <c:v>68756</c:v>
                </c:pt>
                <c:pt idx="77">
                  <c:v>68756</c:v>
                </c:pt>
                <c:pt idx="78">
                  <c:v>68756</c:v>
                </c:pt>
                <c:pt idx="79">
                  <c:v>68756</c:v>
                </c:pt>
                <c:pt idx="80">
                  <c:v>68756</c:v>
                </c:pt>
                <c:pt idx="81">
                  <c:v>68756</c:v>
                </c:pt>
                <c:pt idx="82">
                  <c:v>68756</c:v>
                </c:pt>
                <c:pt idx="83">
                  <c:v>68756</c:v>
                </c:pt>
                <c:pt idx="84">
                  <c:v>68756</c:v>
                </c:pt>
                <c:pt idx="85">
                  <c:v>68756</c:v>
                </c:pt>
                <c:pt idx="86">
                  <c:v>68756</c:v>
                </c:pt>
                <c:pt idx="87">
                  <c:v>68756</c:v>
                </c:pt>
                <c:pt idx="88">
                  <c:v>68756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60-8940-B0E7-D2B6F9F193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2065599"/>
        <c:axId val="1206392895"/>
      </c:scatterChart>
      <c:valAx>
        <c:axId val="712065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392895"/>
        <c:crosses val="autoZero"/>
        <c:crossBetween val="midCat"/>
      </c:valAx>
      <c:valAx>
        <c:axId val="1206392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2065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[1]Cardinals!$H$1</c:f>
              <c:strCache>
                <c:ptCount val="1"/>
                <c:pt idx="0">
                  <c:v>weekly_attendance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[1]Cardinals!$G$2:$G$241</c:f>
              <c:numCache>
                <c:formatCode>General</c:formatCode>
                <c:ptCount val="240"/>
                <c:pt idx="0">
                  <c:v>2</c:v>
                </c:pt>
                <c:pt idx="1">
                  <c:v>4</c:v>
                </c:pt>
                <c:pt idx="2">
                  <c:v>6</c:v>
                </c:pt>
                <c:pt idx="3">
                  <c:v>7</c:v>
                </c:pt>
                <c:pt idx="4">
                  <c:v>9</c:v>
                </c:pt>
                <c:pt idx="5">
                  <c:v>10</c:v>
                </c:pt>
                <c:pt idx="6">
                  <c:v>13</c:v>
                </c:pt>
                <c:pt idx="7">
                  <c:v>16</c:v>
                </c:pt>
                <c:pt idx="8">
                  <c:v>2</c:v>
                </c:pt>
                <c:pt idx="9">
                  <c:v>3</c:v>
                </c:pt>
                <c:pt idx="10">
                  <c:v>6</c:v>
                </c:pt>
                <c:pt idx="11">
                  <c:v>8</c:v>
                </c:pt>
                <c:pt idx="12">
                  <c:v>9</c:v>
                </c:pt>
                <c:pt idx="13">
                  <c:v>10</c:v>
                </c:pt>
                <c:pt idx="14">
                  <c:v>13</c:v>
                </c:pt>
                <c:pt idx="15">
                  <c:v>15</c:v>
                </c:pt>
                <c:pt idx="16">
                  <c:v>3</c:v>
                </c:pt>
                <c:pt idx="17">
                  <c:v>4</c:v>
                </c:pt>
                <c:pt idx="18">
                  <c:v>7</c:v>
                </c:pt>
                <c:pt idx="19">
                  <c:v>9</c:v>
                </c:pt>
                <c:pt idx="20">
                  <c:v>10</c:v>
                </c:pt>
                <c:pt idx="21">
                  <c:v>12</c:v>
                </c:pt>
                <c:pt idx="22">
                  <c:v>14</c:v>
                </c:pt>
                <c:pt idx="23">
                  <c:v>16</c:v>
                </c:pt>
                <c:pt idx="24">
                  <c:v>2</c:v>
                </c:pt>
                <c:pt idx="25">
                  <c:v>3</c:v>
                </c:pt>
                <c:pt idx="26">
                  <c:v>6</c:v>
                </c:pt>
                <c:pt idx="27">
                  <c:v>8</c:v>
                </c:pt>
                <c:pt idx="28">
                  <c:v>9</c:v>
                </c:pt>
                <c:pt idx="29">
                  <c:v>12</c:v>
                </c:pt>
                <c:pt idx="30">
                  <c:v>15</c:v>
                </c:pt>
                <c:pt idx="31">
                  <c:v>17</c:v>
                </c:pt>
                <c:pt idx="32">
                  <c:v>2</c:v>
                </c:pt>
                <c:pt idx="33">
                  <c:v>4</c:v>
                </c:pt>
                <c:pt idx="34">
                  <c:v>7</c:v>
                </c:pt>
                <c:pt idx="35">
                  <c:v>10</c:v>
                </c:pt>
                <c:pt idx="36">
                  <c:v>12</c:v>
                </c:pt>
                <c:pt idx="37">
                  <c:v>14</c:v>
                </c:pt>
                <c:pt idx="38">
                  <c:v>15</c:v>
                </c:pt>
                <c:pt idx="39">
                  <c:v>17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7</c:v>
                </c:pt>
                <c:pt idx="44">
                  <c:v>9</c:v>
                </c:pt>
                <c:pt idx="45">
                  <c:v>12</c:v>
                </c:pt>
                <c:pt idx="46">
                  <c:v>14</c:v>
                </c:pt>
                <c:pt idx="47">
                  <c:v>16</c:v>
                </c:pt>
                <c:pt idx="48">
                  <c:v>1</c:v>
                </c:pt>
                <c:pt idx="49">
                  <c:v>3</c:v>
                </c:pt>
                <c:pt idx="50">
                  <c:v>5</c:v>
                </c:pt>
                <c:pt idx="51">
                  <c:v>6</c:v>
                </c:pt>
                <c:pt idx="52">
                  <c:v>10</c:v>
                </c:pt>
                <c:pt idx="53">
                  <c:v>11</c:v>
                </c:pt>
                <c:pt idx="54">
                  <c:v>14</c:v>
                </c:pt>
                <c:pt idx="55">
                  <c:v>15</c:v>
                </c:pt>
                <c:pt idx="56">
                  <c:v>2</c:v>
                </c:pt>
                <c:pt idx="57">
                  <c:v>4</c:v>
                </c:pt>
                <c:pt idx="58">
                  <c:v>6</c:v>
                </c:pt>
                <c:pt idx="59">
                  <c:v>10</c:v>
                </c:pt>
                <c:pt idx="60">
                  <c:v>12</c:v>
                </c:pt>
                <c:pt idx="61">
                  <c:v>13</c:v>
                </c:pt>
                <c:pt idx="62">
                  <c:v>16</c:v>
                </c:pt>
                <c:pt idx="63">
                  <c:v>17</c:v>
                </c:pt>
                <c:pt idx="64">
                  <c:v>2</c:v>
                </c:pt>
                <c:pt idx="65">
                  <c:v>5</c:v>
                </c:pt>
                <c:pt idx="66">
                  <c:v>6</c:v>
                </c:pt>
                <c:pt idx="67">
                  <c:v>10</c:v>
                </c:pt>
                <c:pt idx="68">
                  <c:v>12</c:v>
                </c:pt>
                <c:pt idx="69">
                  <c:v>14</c:v>
                </c:pt>
                <c:pt idx="70">
                  <c:v>15</c:v>
                </c:pt>
                <c:pt idx="71">
                  <c:v>17</c:v>
                </c:pt>
                <c:pt idx="72">
                  <c:v>1</c:v>
                </c:pt>
                <c:pt idx="73">
                  <c:v>3</c:v>
                </c:pt>
                <c:pt idx="74">
                  <c:v>5</c:v>
                </c:pt>
                <c:pt idx="75">
                  <c:v>8</c:v>
                </c:pt>
                <c:pt idx="76">
                  <c:v>10</c:v>
                </c:pt>
                <c:pt idx="77">
                  <c:v>13</c:v>
                </c:pt>
                <c:pt idx="78">
                  <c:v>16</c:v>
                </c:pt>
                <c:pt idx="79">
                  <c:v>17</c:v>
                </c:pt>
                <c:pt idx="80">
                  <c:v>3</c:v>
                </c:pt>
                <c:pt idx="81">
                  <c:v>5</c:v>
                </c:pt>
                <c:pt idx="82">
                  <c:v>8</c:v>
                </c:pt>
                <c:pt idx="83">
                  <c:v>10</c:v>
                </c:pt>
                <c:pt idx="84">
                  <c:v>12</c:v>
                </c:pt>
                <c:pt idx="85">
                  <c:v>13</c:v>
                </c:pt>
                <c:pt idx="86">
                  <c:v>14</c:v>
                </c:pt>
                <c:pt idx="87">
                  <c:v>16</c:v>
                </c:pt>
              </c:numCache>
            </c:numRef>
          </c:xVal>
          <c:yVal>
            <c:numRef>
              <c:f>[1]Cardinals!$H$2:$H$241</c:f>
              <c:numCache>
                <c:formatCode>General</c:formatCode>
                <c:ptCount val="240"/>
                <c:pt idx="0">
                  <c:v>66009</c:v>
                </c:pt>
                <c:pt idx="1">
                  <c:v>71801</c:v>
                </c:pt>
                <c:pt idx="2">
                  <c:v>44296</c:v>
                </c:pt>
                <c:pt idx="3">
                  <c:v>38293</c:v>
                </c:pt>
                <c:pt idx="4">
                  <c:v>35286</c:v>
                </c:pt>
                <c:pt idx="5">
                  <c:v>52244</c:v>
                </c:pt>
                <c:pt idx="6">
                  <c:v>42094</c:v>
                </c:pt>
                <c:pt idx="7">
                  <c:v>37452</c:v>
                </c:pt>
                <c:pt idx="8">
                  <c:v>50913</c:v>
                </c:pt>
                <c:pt idx="9">
                  <c:v>28878</c:v>
                </c:pt>
                <c:pt idx="10">
                  <c:v>35916</c:v>
                </c:pt>
                <c:pt idx="11">
                  <c:v>33430</c:v>
                </c:pt>
                <c:pt idx="12">
                  <c:v>36917</c:v>
                </c:pt>
                <c:pt idx="13">
                  <c:v>32322</c:v>
                </c:pt>
                <c:pt idx="14">
                  <c:v>40056</c:v>
                </c:pt>
                <c:pt idx="15">
                  <c:v>48883</c:v>
                </c:pt>
                <c:pt idx="16">
                  <c:v>28980</c:v>
                </c:pt>
                <c:pt idx="17">
                  <c:v>30014</c:v>
                </c:pt>
                <c:pt idx="18">
                  <c:v>59702</c:v>
                </c:pt>
                <c:pt idx="19">
                  <c:v>47819</c:v>
                </c:pt>
                <c:pt idx="20">
                  <c:v>29252</c:v>
                </c:pt>
                <c:pt idx="21">
                  <c:v>58814</c:v>
                </c:pt>
                <c:pt idx="22">
                  <c:v>28640</c:v>
                </c:pt>
                <c:pt idx="23">
                  <c:v>44051</c:v>
                </c:pt>
                <c:pt idx="24">
                  <c:v>23127</c:v>
                </c:pt>
                <c:pt idx="25">
                  <c:v>58784</c:v>
                </c:pt>
                <c:pt idx="26">
                  <c:v>24193</c:v>
                </c:pt>
                <c:pt idx="27">
                  <c:v>40824</c:v>
                </c:pt>
                <c:pt idx="28">
                  <c:v>23531</c:v>
                </c:pt>
                <c:pt idx="29">
                  <c:v>42089</c:v>
                </c:pt>
                <c:pt idx="30">
                  <c:v>23217</c:v>
                </c:pt>
                <c:pt idx="31">
                  <c:v>52734</c:v>
                </c:pt>
                <c:pt idx="32">
                  <c:v>51557</c:v>
                </c:pt>
                <c:pt idx="33">
                  <c:v>28109</c:v>
                </c:pt>
                <c:pt idx="34">
                  <c:v>35695</c:v>
                </c:pt>
                <c:pt idx="35">
                  <c:v>42297</c:v>
                </c:pt>
                <c:pt idx="36">
                  <c:v>35820</c:v>
                </c:pt>
                <c:pt idx="37">
                  <c:v>35069</c:v>
                </c:pt>
                <c:pt idx="38">
                  <c:v>40070</c:v>
                </c:pt>
                <c:pt idx="39">
                  <c:v>31650</c:v>
                </c:pt>
                <c:pt idx="40">
                  <c:v>45160</c:v>
                </c:pt>
                <c:pt idx="41">
                  <c:v>103467</c:v>
                </c:pt>
                <c:pt idx="42">
                  <c:v>38809</c:v>
                </c:pt>
                <c:pt idx="43">
                  <c:v>39482</c:v>
                </c:pt>
                <c:pt idx="44">
                  <c:v>43542</c:v>
                </c:pt>
                <c:pt idx="45">
                  <c:v>39198</c:v>
                </c:pt>
                <c:pt idx="46">
                  <c:v>46654</c:v>
                </c:pt>
                <c:pt idx="47">
                  <c:v>44723</c:v>
                </c:pt>
                <c:pt idx="48">
                  <c:v>63407</c:v>
                </c:pt>
                <c:pt idx="49">
                  <c:v>63278</c:v>
                </c:pt>
                <c:pt idx="50">
                  <c:v>63445</c:v>
                </c:pt>
                <c:pt idx="51">
                  <c:v>63977</c:v>
                </c:pt>
                <c:pt idx="52">
                  <c:v>63926</c:v>
                </c:pt>
                <c:pt idx="53">
                  <c:v>63348</c:v>
                </c:pt>
                <c:pt idx="54">
                  <c:v>63603</c:v>
                </c:pt>
                <c:pt idx="55">
                  <c:v>63845</c:v>
                </c:pt>
                <c:pt idx="56">
                  <c:v>64542</c:v>
                </c:pt>
                <c:pt idx="57">
                  <c:v>64844</c:v>
                </c:pt>
                <c:pt idx="58">
                  <c:v>64403</c:v>
                </c:pt>
                <c:pt idx="59">
                  <c:v>64753</c:v>
                </c:pt>
                <c:pt idx="60">
                  <c:v>64483</c:v>
                </c:pt>
                <c:pt idx="61">
                  <c:v>64791</c:v>
                </c:pt>
                <c:pt idx="62">
                  <c:v>64159</c:v>
                </c:pt>
                <c:pt idx="63">
                  <c:v>64671</c:v>
                </c:pt>
                <c:pt idx="64">
                  <c:v>63445</c:v>
                </c:pt>
                <c:pt idx="65">
                  <c:v>63830</c:v>
                </c:pt>
                <c:pt idx="66">
                  <c:v>64389</c:v>
                </c:pt>
                <c:pt idx="67">
                  <c:v>64519</c:v>
                </c:pt>
                <c:pt idx="68">
                  <c:v>64541</c:v>
                </c:pt>
                <c:pt idx="69">
                  <c:v>63720</c:v>
                </c:pt>
                <c:pt idx="70">
                  <c:v>64457</c:v>
                </c:pt>
                <c:pt idx="71">
                  <c:v>63874</c:v>
                </c:pt>
                <c:pt idx="72">
                  <c:v>61981</c:v>
                </c:pt>
                <c:pt idx="73">
                  <c:v>62692</c:v>
                </c:pt>
                <c:pt idx="74">
                  <c:v>61819</c:v>
                </c:pt>
                <c:pt idx="75">
                  <c:v>62031</c:v>
                </c:pt>
                <c:pt idx="76">
                  <c:v>62278</c:v>
                </c:pt>
                <c:pt idx="77">
                  <c:v>64121</c:v>
                </c:pt>
                <c:pt idx="78">
                  <c:v>62624</c:v>
                </c:pt>
                <c:pt idx="79">
                  <c:v>67597</c:v>
                </c:pt>
                <c:pt idx="80">
                  <c:v>62439</c:v>
                </c:pt>
                <c:pt idx="81">
                  <c:v>62621</c:v>
                </c:pt>
                <c:pt idx="82">
                  <c:v>61857</c:v>
                </c:pt>
                <c:pt idx="83">
                  <c:v>61904</c:v>
                </c:pt>
                <c:pt idx="84">
                  <c:v>62308</c:v>
                </c:pt>
                <c:pt idx="85">
                  <c:v>61874</c:v>
                </c:pt>
                <c:pt idx="86">
                  <c:v>62223</c:v>
                </c:pt>
                <c:pt idx="87">
                  <c:v>66971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B-844B-8805-3DD6192A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9516496"/>
        <c:axId val="1229518208"/>
      </c:scatterChart>
      <c:valAx>
        <c:axId val="1229516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18208"/>
        <c:crosses val="autoZero"/>
        <c:crossBetween val="midCat"/>
      </c:valAx>
      <c:valAx>
        <c:axId val="122951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16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[1]Cardinals!$E$1</c:f>
              <c:strCache>
                <c:ptCount val="1"/>
                <c:pt idx="0">
                  <c:v>home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[1]Cardinals!$C$2:$C$89</c:f>
              <c:numCache>
                <c:formatCode>General</c:formatCode>
                <c:ptCount val="88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2001</c:v>
                </c:pt>
                <c:pt idx="9">
                  <c:v>2001</c:v>
                </c:pt>
                <c:pt idx="10">
                  <c:v>2001</c:v>
                </c:pt>
                <c:pt idx="11">
                  <c:v>2001</c:v>
                </c:pt>
                <c:pt idx="12">
                  <c:v>2001</c:v>
                </c:pt>
                <c:pt idx="13">
                  <c:v>2001</c:v>
                </c:pt>
                <c:pt idx="14">
                  <c:v>2001</c:v>
                </c:pt>
                <c:pt idx="15">
                  <c:v>2001</c:v>
                </c:pt>
                <c:pt idx="16">
                  <c:v>2002</c:v>
                </c:pt>
                <c:pt idx="17">
                  <c:v>2002</c:v>
                </c:pt>
                <c:pt idx="18">
                  <c:v>2002</c:v>
                </c:pt>
                <c:pt idx="19">
                  <c:v>2002</c:v>
                </c:pt>
                <c:pt idx="20">
                  <c:v>2002</c:v>
                </c:pt>
                <c:pt idx="21">
                  <c:v>2002</c:v>
                </c:pt>
                <c:pt idx="22">
                  <c:v>2002</c:v>
                </c:pt>
                <c:pt idx="23">
                  <c:v>2002</c:v>
                </c:pt>
                <c:pt idx="24">
                  <c:v>2003</c:v>
                </c:pt>
                <c:pt idx="25">
                  <c:v>2003</c:v>
                </c:pt>
                <c:pt idx="26">
                  <c:v>2003</c:v>
                </c:pt>
                <c:pt idx="27">
                  <c:v>2003</c:v>
                </c:pt>
                <c:pt idx="28">
                  <c:v>2003</c:v>
                </c:pt>
                <c:pt idx="29">
                  <c:v>2003</c:v>
                </c:pt>
                <c:pt idx="30">
                  <c:v>2003</c:v>
                </c:pt>
                <c:pt idx="31">
                  <c:v>2003</c:v>
                </c:pt>
                <c:pt idx="32">
                  <c:v>2004</c:v>
                </c:pt>
                <c:pt idx="33">
                  <c:v>2004</c:v>
                </c:pt>
                <c:pt idx="34">
                  <c:v>2004</c:v>
                </c:pt>
                <c:pt idx="35">
                  <c:v>2004</c:v>
                </c:pt>
                <c:pt idx="36">
                  <c:v>2004</c:v>
                </c:pt>
                <c:pt idx="37">
                  <c:v>2004</c:v>
                </c:pt>
                <c:pt idx="38">
                  <c:v>2004</c:v>
                </c:pt>
                <c:pt idx="39">
                  <c:v>2004</c:v>
                </c:pt>
                <c:pt idx="40">
                  <c:v>2005</c:v>
                </c:pt>
                <c:pt idx="41">
                  <c:v>2005</c:v>
                </c:pt>
                <c:pt idx="42">
                  <c:v>2005</c:v>
                </c:pt>
                <c:pt idx="43">
                  <c:v>2005</c:v>
                </c:pt>
                <c:pt idx="44">
                  <c:v>2005</c:v>
                </c:pt>
                <c:pt idx="45">
                  <c:v>2005</c:v>
                </c:pt>
                <c:pt idx="46">
                  <c:v>2005</c:v>
                </c:pt>
                <c:pt idx="47">
                  <c:v>2005</c:v>
                </c:pt>
                <c:pt idx="48">
                  <c:v>2006</c:v>
                </c:pt>
                <c:pt idx="49">
                  <c:v>2006</c:v>
                </c:pt>
                <c:pt idx="50">
                  <c:v>2006</c:v>
                </c:pt>
                <c:pt idx="51">
                  <c:v>2006</c:v>
                </c:pt>
                <c:pt idx="52">
                  <c:v>2006</c:v>
                </c:pt>
                <c:pt idx="53">
                  <c:v>2006</c:v>
                </c:pt>
                <c:pt idx="54">
                  <c:v>2006</c:v>
                </c:pt>
                <c:pt idx="55">
                  <c:v>2006</c:v>
                </c:pt>
                <c:pt idx="56">
                  <c:v>2007</c:v>
                </c:pt>
                <c:pt idx="57">
                  <c:v>2007</c:v>
                </c:pt>
                <c:pt idx="58">
                  <c:v>2007</c:v>
                </c:pt>
                <c:pt idx="59">
                  <c:v>2007</c:v>
                </c:pt>
                <c:pt idx="60">
                  <c:v>2007</c:v>
                </c:pt>
                <c:pt idx="61">
                  <c:v>2007</c:v>
                </c:pt>
                <c:pt idx="62">
                  <c:v>2007</c:v>
                </c:pt>
                <c:pt idx="63">
                  <c:v>2007</c:v>
                </c:pt>
                <c:pt idx="64">
                  <c:v>2008</c:v>
                </c:pt>
                <c:pt idx="65">
                  <c:v>2008</c:v>
                </c:pt>
                <c:pt idx="66">
                  <c:v>2008</c:v>
                </c:pt>
                <c:pt idx="67">
                  <c:v>2008</c:v>
                </c:pt>
                <c:pt idx="68">
                  <c:v>2008</c:v>
                </c:pt>
                <c:pt idx="69">
                  <c:v>2008</c:v>
                </c:pt>
                <c:pt idx="70">
                  <c:v>2008</c:v>
                </c:pt>
                <c:pt idx="71">
                  <c:v>2008</c:v>
                </c:pt>
                <c:pt idx="72">
                  <c:v>2009</c:v>
                </c:pt>
                <c:pt idx="73">
                  <c:v>2009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2010</c:v>
                </c:pt>
                <c:pt idx="81">
                  <c:v>2010</c:v>
                </c:pt>
                <c:pt idx="82">
                  <c:v>2010</c:v>
                </c:pt>
                <c:pt idx="83">
                  <c:v>2010</c:v>
                </c:pt>
                <c:pt idx="84">
                  <c:v>2010</c:v>
                </c:pt>
                <c:pt idx="85">
                  <c:v>2010</c:v>
                </c:pt>
                <c:pt idx="86">
                  <c:v>2010</c:v>
                </c:pt>
                <c:pt idx="87">
                  <c:v>2010</c:v>
                </c:pt>
              </c:numCache>
            </c:numRef>
          </c:cat>
          <c:val>
            <c:numRef>
              <c:f>[1]Cardinals!$E$2:$E$89</c:f>
              <c:numCache>
                <c:formatCode>General</c:formatCode>
                <c:ptCount val="88"/>
                <c:pt idx="0">
                  <c:v>387475</c:v>
                </c:pt>
                <c:pt idx="1">
                  <c:v>387475</c:v>
                </c:pt>
                <c:pt idx="2">
                  <c:v>387475</c:v>
                </c:pt>
                <c:pt idx="3">
                  <c:v>387475</c:v>
                </c:pt>
                <c:pt idx="4">
                  <c:v>387475</c:v>
                </c:pt>
                <c:pt idx="5">
                  <c:v>387475</c:v>
                </c:pt>
                <c:pt idx="6">
                  <c:v>387475</c:v>
                </c:pt>
                <c:pt idx="7">
                  <c:v>387475</c:v>
                </c:pt>
                <c:pt idx="8">
                  <c:v>307315</c:v>
                </c:pt>
                <c:pt idx="9">
                  <c:v>307315</c:v>
                </c:pt>
                <c:pt idx="10">
                  <c:v>307315</c:v>
                </c:pt>
                <c:pt idx="11">
                  <c:v>307315</c:v>
                </c:pt>
                <c:pt idx="12">
                  <c:v>307315</c:v>
                </c:pt>
                <c:pt idx="13">
                  <c:v>307315</c:v>
                </c:pt>
                <c:pt idx="14">
                  <c:v>307315</c:v>
                </c:pt>
                <c:pt idx="15">
                  <c:v>307315</c:v>
                </c:pt>
                <c:pt idx="16">
                  <c:v>327272</c:v>
                </c:pt>
                <c:pt idx="17">
                  <c:v>327272</c:v>
                </c:pt>
                <c:pt idx="18">
                  <c:v>327272</c:v>
                </c:pt>
                <c:pt idx="19">
                  <c:v>327272</c:v>
                </c:pt>
                <c:pt idx="20">
                  <c:v>327272</c:v>
                </c:pt>
                <c:pt idx="21">
                  <c:v>327272</c:v>
                </c:pt>
                <c:pt idx="22">
                  <c:v>327272</c:v>
                </c:pt>
                <c:pt idx="23">
                  <c:v>327272</c:v>
                </c:pt>
                <c:pt idx="24">
                  <c:v>288499</c:v>
                </c:pt>
                <c:pt idx="25">
                  <c:v>288499</c:v>
                </c:pt>
                <c:pt idx="26">
                  <c:v>288499</c:v>
                </c:pt>
                <c:pt idx="27">
                  <c:v>288499</c:v>
                </c:pt>
                <c:pt idx="28">
                  <c:v>288499</c:v>
                </c:pt>
                <c:pt idx="29">
                  <c:v>288499</c:v>
                </c:pt>
                <c:pt idx="30">
                  <c:v>288499</c:v>
                </c:pt>
                <c:pt idx="31">
                  <c:v>288499</c:v>
                </c:pt>
                <c:pt idx="32">
                  <c:v>300267</c:v>
                </c:pt>
                <c:pt idx="33">
                  <c:v>300267</c:v>
                </c:pt>
                <c:pt idx="34">
                  <c:v>300267</c:v>
                </c:pt>
                <c:pt idx="35">
                  <c:v>300267</c:v>
                </c:pt>
                <c:pt idx="36">
                  <c:v>300267</c:v>
                </c:pt>
                <c:pt idx="37">
                  <c:v>300267</c:v>
                </c:pt>
                <c:pt idx="38">
                  <c:v>300267</c:v>
                </c:pt>
                <c:pt idx="39">
                  <c:v>300267</c:v>
                </c:pt>
                <c:pt idx="40">
                  <c:v>401035</c:v>
                </c:pt>
                <c:pt idx="41">
                  <c:v>401035</c:v>
                </c:pt>
                <c:pt idx="42">
                  <c:v>401035</c:v>
                </c:pt>
                <c:pt idx="43">
                  <c:v>401035</c:v>
                </c:pt>
                <c:pt idx="44">
                  <c:v>401035</c:v>
                </c:pt>
                <c:pt idx="45">
                  <c:v>401035</c:v>
                </c:pt>
                <c:pt idx="46">
                  <c:v>401035</c:v>
                </c:pt>
                <c:pt idx="47">
                  <c:v>401035</c:v>
                </c:pt>
                <c:pt idx="48">
                  <c:v>508829</c:v>
                </c:pt>
                <c:pt idx="49">
                  <c:v>508829</c:v>
                </c:pt>
                <c:pt idx="50">
                  <c:v>508829</c:v>
                </c:pt>
                <c:pt idx="51">
                  <c:v>508829</c:v>
                </c:pt>
                <c:pt idx="52">
                  <c:v>508829</c:v>
                </c:pt>
                <c:pt idx="53">
                  <c:v>508829</c:v>
                </c:pt>
                <c:pt idx="54">
                  <c:v>508829</c:v>
                </c:pt>
                <c:pt idx="55">
                  <c:v>508829</c:v>
                </c:pt>
                <c:pt idx="56">
                  <c:v>516646</c:v>
                </c:pt>
                <c:pt idx="57">
                  <c:v>516646</c:v>
                </c:pt>
                <c:pt idx="58">
                  <c:v>516646</c:v>
                </c:pt>
                <c:pt idx="59">
                  <c:v>516646</c:v>
                </c:pt>
                <c:pt idx="60">
                  <c:v>516646</c:v>
                </c:pt>
                <c:pt idx="61">
                  <c:v>516646</c:v>
                </c:pt>
                <c:pt idx="62">
                  <c:v>516646</c:v>
                </c:pt>
                <c:pt idx="63">
                  <c:v>516646</c:v>
                </c:pt>
                <c:pt idx="64">
                  <c:v>512775</c:v>
                </c:pt>
                <c:pt idx="65">
                  <c:v>512775</c:v>
                </c:pt>
                <c:pt idx="66">
                  <c:v>512775</c:v>
                </c:pt>
                <c:pt idx="67">
                  <c:v>512775</c:v>
                </c:pt>
                <c:pt idx="68">
                  <c:v>512775</c:v>
                </c:pt>
                <c:pt idx="69">
                  <c:v>512775</c:v>
                </c:pt>
                <c:pt idx="70">
                  <c:v>512775</c:v>
                </c:pt>
                <c:pt idx="71">
                  <c:v>512775</c:v>
                </c:pt>
                <c:pt idx="72">
                  <c:v>505143</c:v>
                </c:pt>
                <c:pt idx="73">
                  <c:v>505143</c:v>
                </c:pt>
                <c:pt idx="74">
                  <c:v>505143</c:v>
                </c:pt>
                <c:pt idx="75">
                  <c:v>505143</c:v>
                </c:pt>
                <c:pt idx="76">
                  <c:v>505143</c:v>
                </c:pt>
                <c:pt idx="77">
                  <c:v>505143</c:v>
                </c:pt>
                <c:pt idx="78">
                  <c:v>505143</c:v>
                </c:pt>
                <c:pt idx="79">
                  <c:v>505143</c:v>
                </c:pt>
                <c:pt idx="80">
                  <c:v>502197</c:v>
                </c:pt>
                <c:pt idx="81">
                  <c:v>502197</c:v>
                </c:pt>
                <c:pt idx="82">
                  <c:v>502197</c:v>
                </c:pt>
                <c:pt idx="83">
                  <c:v>502197</c:v>
                </c:pt>
                <c:pt idx="84">
                  <c:v>502197</c:v>
                </c:pt>
                <c:pt idx="85">
                  <c:v>502197</c:v>
                </c:pt>
                <c:pt idx="86">
                  <c:v>502197</c:v>
                </c:pt>
                <c:pt idx="87">
                  <c:v>502197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0A-064F-B807-79C2835474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8135728"/>
        <c:axId val="1421348544"/>
      </c:lineChart>
      <c:catAx>
        <c:axId val="1228135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1348544"/>
        <c:crosses val="autoZero"/>
        <c:auto val="1"/>
        <c:lblAlgn val="ctr"/>
        <c:lblOffset val="100"/>
        <c:noMultiLvlLbl val="0"/>
      </c:catAx>
      <c:valAx>
        <c:axId val="1421348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813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[1]Lions!$H$1</c:f>
              <c:strCache>
                <c:ptCount val="1"/>
                <c:pt idx="0">
                  <c:v>weekly_attendance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[1]Lions!$G$2:$G$89</c:f>
              <c:numCache>
                <c:formatCode>General</c:formatCode>
                <c:ptCount val="88"/>
                <c:pt idx="0">
                  <c:v>2</c:v>
                </c:pt>
                <c:pt idx="1">
                  <c:v>3</c:v>
                </c:pt>
                <c:pt idx="2">
                  <c:v>5</c:v>
                </c:pt>
                <c:pt idx="3">
                  <c:v>6</c:v>
                </c:pt>
                <c:pt idx="4">
                  <c:v>10</c:v>
                </c:pt>
                <c:pt idx="5">
                  <c:v>11</c:v>
                </c:pt>
                <c:pt idx="6">
                  <c:v>13</c:v>
                </c:pt>
                <c:pt idx="7">
                  <c:v>17</c:v>
                </c:pt>
                <c:pt idx="8">
                  <c:v>4</c:v>
                </c:pt>
                <c:pt idx="9">
                  <c:v>6</c:v>
                </c:pt>
                <c:pt idx="10">
                  <c:v>7</c:v>
                </c:pt>
                <c:pt idx="11">
                  <c:v>9</c:v>
                </c:pt>
                <c:pt idx="12">
                  <c:v>11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3</c:v>
                </c:pt>
                <c:pt idx="17">
                  <c:v>4</c:v>
                </c:pt>
                <c:pt idx="18">
                  <c:v>7</c:v>
                </c:pt>
                <c:pt idx="19">
                  <c:v>9</c:v>
                </c:pt>
                <c:pt idx="20">
                  <c:v>11</c:v>
                </c:pt>
                <c:pt idx="21">
                  <c:v>13</c:v>
                </c:pt>
                <c:pt idx="22">
                  <c:v>15</c:v>
                </c:pt>
                <c:pt idx="23">
                  <c:v>17</c:v>
                </c:pt>
                <c:pt idx="24">
                  <c:v>1</c:v>
                </c:pt>
                <c:pt idx="25">
                  <c:v>3</c:v>
                </c:pt>
                <c:pt idx="26">
                  <c:v>7</c:v>
                </c:pt>
                <c:pt idx="27">
                  <c:v>9</c:v>
                </c:pt>
                <c:pt idx="28">
                  <c:v>10</c:v>
                </c:pt>
                <c:pt idx="29">
                  <c:v>13</c:v>
                </c:pt>
                <c:pt idx="30">
                  <c:v>14</c:v>
                </c:pt>
                <c:pt idx="31">
                  <c:v>17</c:v>
                </c:pt>
                <c:pt idx="32">
                  <c:v>2</c:v>
                </c:pt>
                <c:pt idx="33">
                  <c:v>3</c:v>
                </c:pt>
                <c:pt idx="34">
                  <c:v>6</c:v>
                </c:pt>
                <c:pt idx="35">
                  <c:v>9</c:v>
                </c:pt>
                <c:pt idx="36">
                  <c:v>12</c:v>
                </c:pt>
                <c:pt idx="37">
                  <c:v>13</c:v>
                </c:pt>
                <c:pt idx="38">
                  <c:v>15</c:v>
                </c:pt>
                <c:pt idx="39">
                  <c:v>16</c:v>
                </c:pt>
                <c:pt idx="40">
                  <c:v>1</c:v>
                </c:pt>
                <c:pt idx="41">
                  <c:v>5</c:v>
                </c:pt>
                <c:pt idx="42">
                  <c:v>6</c:v>
                </c:pt>
                <c:pt idx="43">
                  <c:v>8</c:v>
                </c:pt>
                <c:pt idx="44">
                  <c:v>10</c:v>
                </c:pt>
                <c:pt idx="45">
                  <c:v>12</c:v>
                </c:pt>
                <c:pt idx="46">
                  <c:v>13</c:v>
                </c:pt>
                <c:pt idx="47">
                  <c:v>15</c:v>
                </c:pt>
                <c:pt idx="48">
                  <c:v>1</c:v>
                </c:pt>
                <c:pt idx="49">
                  <c:v>3</c:v>
                </c:pt>
                <c:pt idx="50">
                  <c:v>6</c:v>
                </c:pt>
                <c:pt idx="51">
                  <c:v>9</c:v>
                </c:pt>
                <c:pt idx="52">
                  <c:v>10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2</c:v>
                </c:pt>
                <c:pt idx="57">
                  <c:v>4</c:v>
                </c:pt>
                <c:pt idx="58">
                  <c:v>7</c:v>
                </c:pt>
                <c:pt idx="59">
                  <c:v>9</c:v>
                </c:pt>
                <c:pt idx="60">
                  <c:v>11</c:v>
                </c:pt>
                <c:pt idx="61">
                  <c:v>12</c:v>
                </c:pt>
                <c:pt idx="62">
                  <c:v>14</c:v>
                </c:pt>
                <c:pt idx="63">
                  <c:v>16</c:v>
                </c:pt>
                <c:pt idx="64">
                  <c:v>2</c:v>
                </c:pt>
                <c:pt idx="65">
                  <c:v>5</c:v>
                </c:pt>
                <c:pt idx="66">
                  <c:v>8</c:v>
                </c:pt>
                <c:pt idx="67">
                  <c:v>10</c:v>
                </c:pt>
                <c:pt idx="68">
                  <c:v>12</c:v>
                </c:pt>
                <c:pt idx="69">
                  <c:v>13</c:v>
                </c:pt>
                <c:pt idx="70">
                  <c:v>14</c:v>
                </c:pt>
                <c:pt idx="71">
                  <c:v>16</c:v>
                </c:pt>
                <c:pt idx="72">
                  <c:v>2</c:v>
                </c:pt>
                <c:pt idx="73">
                  <c:v>3</c:v>
                </c:pt>
                <c:pt idx="74">
                  <c:v>5</c:v>
                </c:pt>
                <c:pt idx="75">
                  <c:v>8</c:v>
                </c:pt>
                <c:pt idx="76">
                  <c:v>11</c:v>
                </c:pt>
                <c:pt idx="77">
                  <c:v>12</c:v>
                </c:pt>
                <c:pt idx="78">
                  <c:v>15</c:v>
                </c:pt>
                <c:pt idx="79">
                  <c:v>17</c:v>
                </c:pt>
                <c:pt idx="80">
                  <c:v>2</c:v>
                </c:pt>
                <c:pt idx="81">
                  <c:v>5</c:v>
                </c:pt>
                <c:pt idx="82">
                  <c:v>8</c:v>
                </c:pt>
                <c:pt idx="83">
                  <c:v>9</c:v>
                </c:pt>
                <c:pt idx="84">
                  <c:v>12</c:v>
                </c:pt>
                <c:pt idx="85">
                  <c:v>13</c:v>
                </c:pt>
                <c:pt idx="86">
                  <c:v>14</c:v>
                </c:pt>
                <c:pt idx="87">
                  <c:v>17</c:v>
                </c:pt>
              </c:numCache>
            </c:numRef>
          </c:xVal>
          <c:yVal>
            <c:numRef>
              <c:f>[1]Lions!$H$2:$H$89</c:f>
              <c:numCache>
                <c:formatCode>General</c:formatCode>
                <c:ptCount val="88"/>
                <c:pt idx="0">
                  <c:v>74159</c:v>
                </c:pt>
                <c:pt idx="1">
                  <c:v>76928</c:v>
                </c:pt>
                <c:pt idx="2">
                  <c:v>76438</c:v>
                </c:pt>
                <c:pt idx="3">
                  <c:v>77549</c:v>
                </c:pt>
                <c:pt idx="4">
                  <c:v>77813</c:v>
                </c:pt>
                <c:pt idx="5">
                  <c:v>74309</c:v>
                </c:pt>
                <c:pt idx="6">
                  <c:v>77923</c:v>
                </c:pt>
                <c:pt idx="7">
                  <c:v>71957</c:v>
                </c:pt>
                <c:pt idx="8">
                  <c:v>77765</c:v>
                </c:pt>
                <c:pt idx="9">
                  <c:v>76940</c:v>
                </c:pt>
                <c:pt idx="10">
                  <c:v>69343</c:v>
                </c:pt>
                <c:pt idx="11">
                  <c:v>74268</c:v>
                </c:pt>
                <c:pt idx="12">
                  <c:v>77730</c:v>
                </c:pt>
                <c:pt idx="13">
                  <c:v>72190</c:v>
                </c:pt>
                <c:pt idx="14">
                  <c:v>76067</c:v>
                </c:pt>
                <c:pt idx="15">
                  <c:v>77512</c:v>
                </c:pt>
                <c:pt idx="16">
                  <c:v>61505</c:v>
                </c:pt>
                <c:pt idx="17">
                  <c:v>60023</c:v>
                </c:pt>
                <c:pt idx="18">
                  <c:v>60421</c:v>
                </c:pt>
                <c:pt idx="19">
                  <c:v>61789</c:v>
                </c:pt>
                <c:pt idx="20">
                  <c:v>61720</c:v>
                </c:pt>
                <c:pt idx="21">
                  <c:v>62109</c:v>
                </c:pt>
                <c:pt idx="22">
                  <c:v>61942</c:v>
                </c:pt>
                <c:pt idx="23">
                  <c:v>60233</c:v>
                </c:pt>
                <c:pt idx="24">
                  <c:v>60691</c:v>
                </c:pt>
                <c:pt idx="25">
                  <c:v>60865</c:v>
                </c:pt>
                <c:pt idx="26">
                  <c:v>61160</c:v>
                </c:pt>
                <c:pt idx="27">
                  <c:v>61561</c:v>
                </c:pt>
                <c:pt idx="28">
                  <c:v>61492</c:v>
                </c:pt>
                <c:pt idx="29">
                  <c:v>62123</c:v>
                </c:pt>
                <c:pt idx="30">
                  <c:v>61544</c:v>
                </c:pt>
                <c:pt idx="31">
                  <c:v>61006</c:v>
                </c:pt>
                <c:pt idx="32">
                  <c:v>61465</c:v>
                </c:pt>
                <c:pt idx="33">
                  <c:v>62472</c:v>
                </c:pt>
                <c:pt idx="34">
                  <c:v>62938</c:v>
                </c:pt>
                <c:pt idx="35">
                  <c:v>62657</c:v>
                </c:pt>
                <c:pt idx="36">
                  <c:v>63107</c:v>
                </c:pt>
                <c:pt idx="37">
                  <c:v>62262</c:v>
                </c:pt>
                <c:pt idx="38">
                  <c:v>62337</c:v>
                </c:pt>
                <c:pt idx="39">
                  <c:v>61924</c:v>
                </c:pt>
                <c:pt idx="40">
                  <c:v>61877</c:v>
                </c:pt>
                <c:pt idx="41">
                  <c:v>61201</c:v>
                </c:pt>
                <c:pt idx="42">
                  <c:v>61083</c:v>
                </c:pt>
                <c:pt idx="43">
                  <c:v>61814</c:v>
                </c:pt>
                <c:pt idx="44">
                  <c:v>61091</c:v>
                </c:pt>
                <c:pt idx="45">
                  <c:v>62390</c:v>
                </c:pt>
                <c:pt idx="46">
                  <c:v>61375</c:v>
                </c:pt>
                <c:pt idx="47">
                  <c:v>61749</c:v>
                </c:pt>
                <c:pt idx="48">
                  <c:v>60535</c:v>
                </c:pt>
                <c:pt idx="49">
                  <c:v>61095</c:v>
                </c:pt>
                <c:pt idx="50">
                  <c:v>60704</c:v>
                </c:pt>
                <c:pt idx="51">
                  <c:v>60987</c:v>
                </c:pt>
                <c:pt idx="52">
                  <c:v>60707</c:v>
                </c:pt>
                <c:pt idx="53">
                  <c:v>61562</c:v>
                </c:pt>
                <c:pt idx="54">
                  <c:v>60861</c:v>
                </c:pt>
                <c:pt idx="55">
                  <c:v>60665</c:v>
                </c:pt>
                <c:pt idx="56">
                  <c:v>61771</c:v>
                </c:pt>
                <c:pt idx="57">
                  <c:v>60811</c:v>
                </c:pt>
                <c:pt idx="58">
                  <c:v>60442</c:v>
                </c:pt>
                <c:pt idx="59">
                  <c:v>60783</c:v>
                </c:pt>
                <c:pt idx="60">
                  <c:v>60675</c:v>
                </c:pt>
                <c:pt idx="61">
                  <c:v>63257</c:v>
                </c:pt>
                <c:pt idx="62">
                  <c:v>62759</c:v>
                </c:pt>
                <c:pt idx="63">
                  <c:v>59938</c:v>
                </c:pt>
                <c:pt idx="64">
                  <c:v>60285</c:v>
                </c:pt>
                <c:pt idx="65">
                  <c:v>59790</c:v>
                </c:pt>
                <c:pt idx="66">
                  <c:v>54312</c:v>
                </c:pt>
                <c:pt idx="67">
                  <c:v>52631</c:v>
                </c:pt>
                <c:pt idx="68">
                  <c:v>49096</c:v>
                </c:pt>
                <c:pt idx="69">
                  <c:v>60112</c:v>
                </c:pt>
                <c:pt idx="70">
                  <c:v>50444</c:v>
                </c:pt>
                <c:pt idx="71">
                  <c:v>49309</c:v>
                </c:pt>
                <c:pt idx="72">
                  <c:v>56269</c:v>
                </c:pt>
                <c:pt idx="73">
                  <c:v>40896</c:v>
                </c:pt>
                <c:pt idx="74">
                  <c:v>59333</c:v>
                </c:pt>
                <c:pt idx="75">
                  <c:v>40857</c:v>
                </c:pt>
                <c:pt idx="76">
                  <c:v>43170</c:v>
                </c:pt>
                <c:pt idx="77">
                  <c:v>57383</c:v>
                </c:pt>
                <c:pt idx="78">
                  <c:v>40577</c:v>
                </c:pt>
                <c:pt idx="79">
                  <c:v>56677</c:v>
                </c:pt>
                <c:pt idx="80">
                  <c:v>56688</c:v>
                </c:pt>
                <c:pt idx="81">
                  <c:v>55714</c:v>
                </c:pt>
                <c:pt idx="82">
                  <c:v>46329</c:v>
                </c:pt>
                <c:pt idx="83">
                  <c:v>57799</c:v>
                </c:pt>
                <c:pt idx="84">
                  <c:v>60965</c:v>
                </c:pt>
                <c:pt idx="85">
                  <c:v>58119</c:v>
                </c:pt>
                <c:pt idx="86">
                  <c:v>57659</c:v>
                </c:pt>
                <c:pt idx="87">
                  <c:v>57013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EA-FF43-830C-2BE3C4FA0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4956624"/>
        <c:axId val="1714958336"/>
      </c:scatterChart>
      <c:valAx>
        <c:axId val="171495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4958336"/>
        <c:crosses val="autoZero"/>
        <c:crossBetween val="midCat"/>
      </c:valAx>
      <c:valAx>
        <c:axId val="1714958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4956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[1]Lions!$E$1</c:f>
              <c:strCache>
                <c:ptCount val="1"/>
                <c:pt idx="0">
                  <c:v>home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[1]Lions!$C$2:$C$89</c:f>
              <c:numCache>
                <c:formatCode>General</c:formatCode>
                <c:ptCount val="88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2001</c:v>
                </c:pt>
                <c:pt idx="9">
                  <c:v>2001</c:v>
                </c:pt>
                <c:pt idx="10">
                  <c:v>2001</c:v>
                </c:pt>
                <c:pt idx="11">
                  <c:v>2001</c:v>
                </c:pt>
                <c:pt idx="12">
                  <c:v>2001</c:v>
                </c:pt>
                <c:pt idx="13">
                  <c:v>2001</c:v>
                </c:pt>
                <c:pt idx="14">
                  <c:v>2001</c:v>
                </c:pt>
                <c:pt idx="15">
                  <c:v>2001</c:v>
                </c:pt>
                <c:pt idx="16">
                  <c:v>2002</c:v>
                </c:pt>
                <c:pt idx="17">
                  <c:v>2002</c:v>
                </c:pt>
                <c:pt idx="18">
                  <c:v>2002</c:v>
                </c:pt>
                <c:pt idx="19">
                  <c:v>2002</c:v>
                </c:pt>
                <c:pt idx="20">
                  <c:v>2002</c:v>
                </c:pt>
                <c:pt idx="21">
                  <c:v>2002</c:v>
                </c:pt>
                <c:pt idx="22">
                  <c:v>2002</c:v>
                </c:pt>
                <c:pt idx="23">
                  <c:v>2002</c:v>
                </c:pt>
                <c:pt idx="24">
                  <c:v>2003</c:v>
                </c:pt>
                <c:pt idx="25">
                  <c:v>2003</c:v>
                </c:pt>
                <c:pt idx="26">
                  <c:v>2003</c:v>
                </c:pt>
                <c:pt idx="27">
                  <c:v>2003</c:v>
                </c:pt>
                <c:pt idx="28">
                  <c:v>2003</c:v>
                </c:pt>
                <c:pt idx="29">
                  <c:v>2003</c:v>
                </c:pt>
                <c:pt idx="30">
                  <c:v>2003</c:v>
                </c:pt>
                <c:pt idx="31">
                  <c:v>2003</c:v>
                </c:pt>
                <c:pt idx="32">
                  <c:v>2004</c:v>
                </c:pt>
                <c:pt idx="33">
                  <c:v>2004</c:v>
                </c:pt>
                <c:pt idx="34">
                  <c:v>2004</c:v>
                </c:pt>
                <c:pt idx="35">
                  <c:v>2004</c:v>
                </c:pt>
                <c:pt idx="36">
                  <c:v>2004</c:v>
                </c:pt>
                <c:pt idx="37">
                  <c:v>2004</c:v>
                </c:pt>
                <c:pt idx="38">
                  <c:v>2004</c:v>
                </c:pt>
                <c:pt idx="39">
                  <c:v>2004</c:v>
                </c:pt>
                <c:pt idx="40">
                  <c:v>2005</c:v>
                </c:pt>
                <c:pt idx="41">
                  <c:v>2005</c:v>
                </c:pt>
                <c:pt idx="42">
                  <c:v>2005</c:v>
                </c:pt>
                <c:pt idx="43">
                  <c:v>2005</c:v>
                </c:pt>
                <c:pt idx="44">
                  <c:v>2005</c:v>
                </c:pt>
                <c:pt idx="45">
                  <c:v>2005</c:v>
                </c:pt>
                <c:pt idx="46">
                  <c:v>2005</c:v>
                </c:pt>
                <c:pt idx="47">
                  <c:v>2005</c:v>
                </c:pt>
                <c:pt idx="48">
                  <c:v>2006</c:v>
                </c:pt>
                <c:pt idx="49">
                  <c:v>2006</c:v>
                </c:pt>
                <c:pt idx="50">
                  <c:v>2006</c:v>
                </c:pt>
                <c:pt idx="51">
                  <c:v>2006</c:v>
                </c:pt>
                <c:pt idx="52">
                  <c:v>2006</c:v>
                </c:pt>
                <c:pt idx="53">
                  <c:v>2006</c:v>
                </c:pt>
                <c:pt idx="54">
                  <c:v>2006</c:v>
                </c:pt>
                <c:pt idx="55">
                  <c:v>2006</c:v>
                </c:pt>
                <c:pt idx="56">
                  <c:v>2007</c:v>
                </c:pt>
                <c:pt idx="57">
                  <c:v>2007</c:v>
                </c:pt>
                <c:pt idx="58">
                  <c:v>2007</c:v>
                </c:pt>
                <c:pt idx="59">
                  <c:v>2007</c:v>
                </c:pt>
                <c:pt idx="60">
                  <c:v>2007</c:v>
                </c:pt>
                <c:pt idx="61">
                  <c:v>2007</c:v>
                </c:pt>
                <c:pt idx="62">
                  <c:v>2007</c:v>
                </c:pt>
                <c:pt idx="63">
                  <c:v>2007</c:v>
                </c:pt>
                <c:pt idx="64">
                  <c:v>2008</c:v>
                </c:pt>
                <c:pt idx="65">
                  <c:v>2008</c:v>
                </c:pt>
                <c:pt idx="66">
                  <c:v>2008</c:v>
                </c:pt>
                <c:pt idx="67">
                  <c:v>2008</c:v>
                </c:pt>
                <c:pt idx="68">
                  <c:v>2008</c:v>
                </c:pt>
                <c:pt idx="69">
                  <c:v>2008</c:v>
                </c:pt>
                <c:pt idx="70">
                  <c:v>2008</c:v>
                </c:pt>
                <c:pt idx="71">
                  <c:v>2008</c:v>
                </c:pt>
                <c:pt idx="72">
                  <c:v>2009</c:v>
                </c:pt>
                <c:pt idx="73">
                  <c:v>2009</c:v>
                </c:pt>
                <c:pt idx="74">
                  <c:v>2009</c:v>
                </c:pt>
                <c:pt idx="75">
                  <c:v>2009</c:v>
                </c:pt>
                <c:pt idx="76">
                  <c:v>2009</c:v>
                </c:pt>
                <c:pt idx="77">
                  <c:v>2009</c:v>
                </c:pt>
                <c:pt idx="78">
                  <c:v>2009</c:v>
                </c:pt>
                <c:pt idx="79">
                  <c:v>2009</c:v>
                </c:pt>
                <c:pt idx="80">
                  <c:v>2010</c:v>
                </c:pt>
                <c:pt idx="81">
                  <c:v>2010</c:v>
                </c:pt>
                <c:pt idx="82">
                  <c:v>2010</c:v>
                </c:pt>
                <c:pt idx="83">
                  <c:v>2010</c:v>
                </c:pt>
                <c:pt idx="84">
                  <c:v>2010</c:v>
                </c:pt>
                <c:pt idx="85">
                  <c:v>2010</c:v>
                </c:pt>
                <c:pt idx="86">
                  <c:v>2010</c:v>
                </c:pt>
                <c:pt idx="87">
                  <c:v>2010</c:v>
                </c:pt>
              </c:numCache>
            </c:numRef>
          </c:cat>
          <c:val>
            <c:numRef>
              <c:f>[1]Lions!$E$2:$E$89</c:f>
              <c:numCache>
                <c:formatCode>General</c:formatCode>
                <c:ptCount val="88"/>
                <c:pt idx="0">
                  <c:v>607076</c:v>
                </c:pt>
                <c:pt idx="1">
                  <c:v>607076</c:v>
                </c:pt>
                <c:pt idx="2">
                  <c:v>607076</c:v>
                </c:pt>
                <c:pt idx="3">
                  <c:v>607076</c:v>
                </c:pt>
                <c:pt idx="4">
                  <c:v>607076</c:v>
                </c:pt>
                <c:pt idx="5">
                  <c:v>607076</c:v>
                </c:pt>
                <c:pt idx="6">
                  <c:v>607076</c:v>
                </c:pt>
                <c:pt idx="7">
                  <c:v>607076</c:v>
                </c:pt>
                <c:pt idx="8">
                  <c:v>601815</c:v>
                </c:pt>
                <c:pt idx="9">
                  <c:v>601815</c:v>
                </c:pt>
                <c:pt idx="10">
                  <c:v>601815</c:v>
                </c:pt>
                <c:pt idx="11">
                  <c:v>601815</c:v>
                </c:pt>
                <c:pt idx="12">
                  <c:v>601815</c:v>
                </c:pt>
                <c:pt idx="13">
                  <c:v>601815</c:v>
                </c:pt>
                <c:pt idx="14">
                  <c:v>601815</c:v>
                </c:pt>
                <c:pt idx="15">
                  <c:v>601815</c:v>
                </c:pt>
                <c:pt idx="16">
                  <c:v>489742</c:v>
                </c:pt>
                <c:pt idx="17">
                  <c:v>489742</c:v>
                </c:pt>
                <c:pt idx="18">
                  <c:v>489742</c:v>
                </c:pt>
                <c:pt idx="19">
                  <c:v>489742</c:v>
                </c:pt>
                <c:pt idx="20">
                  <c:v>489742</c:v>
                </c:pt>
                <c:pt idx="21">
                  <c:v>489742</c:v>
                </c:pt>
                <c:pt idx="22">
                  <c:v>489742</c:v>
                </c:pt>
                <c:pt idx="23">
                  <c:v>489742</c:v>
                </c:pt>
                <c:pt idx="24">
                  <c:v>490442</c:v>
                </c:pt>
                <c:pt idx="25">
                  <c:v>490442</c:v>
                </c:pt>
                <c:pt idx="26">
                  <c:v>490442</c:v>
                </c:pt>
                <c:pt idx="27">
                  <c:v>490442</c:v>
                </c:pt>
                <c:pt idx="28">
                  <c:v>490442</c:v>
                </c:pt>
                <c:pt idx="29">
                  <c:v>490442</c:v>
                </c:pt>
                <c:pt idx="30">
                  <c:v>490442</c:v>
                </c:pt>
                <c:pt idx="31">
                  <c:v>490442</c:v>
                </c:pt>
                <c:pt idx="32">
                  <c:v>499162</c:v>
                </c:pt>
                <c:pt idx="33">
                  <c:v>499162</c:v>
                </c:pt>
                <c:pt idx="34">
                  <c:v>499162</c:v>
                </c:pt>
                <c:pt idx="35">
                  <c:v>499162</c:v>
                </c:pt>
                <c:pt idx="36">
                  <c:v>499162</c:v>
                </c:pt>
                <c:pt idx="37">
                  <c:v>499162</c:v>
                </c:pt>
                <c:pt idx="38">
                  <c:v>499162</c:v>
                </c:pt>
                <c:pt idx="39">
                  <c:v>499162</c:v>
                </c:pt>
                <c:pt idx="40">
                  <c:v>492580</c:v>
                </c:pt>
                <c:pt idx="41">
                  <c:v>492580</c:v>
                </c:pt>
                <c:pt idx="42">
                  <c:v>492580</c:v>
                </c:pt>
                <c:pt idx="43">
                  <c:v>492580</c:v>
                </c:pt>
                <c:pt idx="44">
                  <c:v>492580</c:v>
                </c:pt>
                <c:pt idx="45">
                  <c:v>492580</c:v>
                </c:pt>
                <c:pt idx="46">
                  <c:v>492580</c:v>
                </c:pt>
                <c:pt idx="47">
                  <c:v>492580</c:v>
                </c:pt>
                <c:pt idx="48">
                  <c:v>487116</c:v>
                </c:pt>
                <c:pt idx="49">
                  <c:v>487116</c:v>
                </c:pt>
                <c:pt idx="50">
                  <c:v>487116</c:v>
                </c:pt>
                <c:pt idx="51">
                  <c:v>487116</c:v>
                </c:pt>
                <c:pt idx="52">
                  <c:v>487116</c:v>
                </c:pt>
                <c:pt idx="53">
                  <c:v>487116</c:v>
                </c:pt>
                <c:pt idx="54">
                  <c:v>487116</c:v>
                </c:pt>
                <c:pt idx="55">
                  <c:v>487116</c:v>
                </c:pt>
                <c:pt idx="56">
                  <c:v>490436</c:v>
                </c:pt>
                <c:pt idx="57">
                  <c:v>490436</c:v>
                </c:pt>
                <c:pt idx="58">
                  <c:v>490436</c:v>
                </c:pt>
                <c:pt idx="59">
                  <c:v>490436</c:v>
                </c:pt>
                <c:pt idx="60">
                  <c:v>490436</c:v>
                </c:pt>
                <c:pt idx="61">
                  <c:v>490436</c:v>
                </c:pt>
                <c:pt idx="62">
                  <c:v>490436</c:v>
                </c:pt>
                <c:pt idx="63">
                  <c:v>490436</c:v>
                </c:pt>
                <c:pt idx="64">
                  <c:v>435979</c:v>
                </c:pt>
                <c:pt idx="65">
                  <c:v>435979</c:v>
                </c:pt>
                <c:pt idx="66">
                  <c:v>435979</c:v>
                </c:pt>
                <c:pt idx="67">
                  <c:v>435979</c:v>
                </c:pt>
                <c:pt idx="68">
                  <c:v>435979</c:v>
                </c:pt>
                <c:pt idx="69">
                  <c:v>435979</c:v>
                </c:pt>
                <c:pt idx="70">
                  <c:v>435979</c:v>
                </c:pt>
                <c:pt idx="71">
                  <c:v>435979</c:v>
                </c:pt>
                <c:pt idx="72">
                  <c:v>395162</c:v>
                </c:pt>
                <c:pt idx="73">
                  <c:v>395162</c:v>
                </c:pt>
                <c:pt idx="74">
                  <c:v>395162</c:v>
                </c:pt>
                <c:pt idx="75">
                  <c:v>395162</c:v>
                </c:pt>
                <c:pt idx="76">
                  <c:v>395162</c:v>
                </c:pt>
                <c:pt idx="77">
                  <c:v>395162</c:v>
                </c:pt>
                <c:pt idx="78">
                  <c:v>395162</c:v>
                </c:pt>
                <c:pt idx="79">
                  <c:v>395162</c:v>
                </c:pt>
                <c:pt idx="80">
                  <c:v>450286</c:v>
                </c:pt>
                <c:pt idx="81">
                  <c:v>450286</c:v>
                </c:pt>
                <c:pt idx="82">
                  <c:v>450286</c:v>
                </c:pt>
                <c:pt idx="83">
                  <c:v>450286</c:v>
                </c:pt>
                <c:pt idx="84">
                  <c:v>450286</c:v>
                </c:pt>
                <c:pt idx="85">
                  <c:v>450286</c:v>
                </c:pt>
                <c:pt idx="86">
                  <c:v>450286</c:v>
                </c:pt>
                <c:pt idx="87">
                  <c:v>450286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67-7E47-B611-8173AEF8C6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17460672"/>
        <c:axId val="1617496416"/>
      </c:lineChart>
      <c:catAx>
        <c:axId val="1617460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496416"/>
        <c:crosses val="autoZero"/>
        <c:auto val="1"/>
        <c:lblAlgn val="ctr"/>
        <c:lblOffset val="100"/>
        <c:noMultiLvlLbl val="0"/>
      </c:catAx>
      <c:valAx>
        <c:axId val="161749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7460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1</xdr:row>
      <xdr:rowOff>25400</xdr:rowOff>
    </xdr:from>
    <xdr:to>
      <xdr:col>2</xdr:col>
      <xdr:colOff>812800</xdr:colOff>
      <xdr:row>11</xdr:row>
      <xdr:rowOff>177800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51E70C-A605-1A40-839B-E5D6CD804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1</xdr:row>
      <xdr:rowOff>0</xdr:rowOff>
    </xdr:from>
    <xdr:to>
      <xdr:col>8</xdr:col>
      <xdr:colOff>63500</xdr:colOff>
      <xdr:row>11</xdr:row>
      <xdr:rowOff>165100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48D84B-C1E7-F846-BB7E-BFA3A0DB1B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12700</xdr:colOff>
      <xdr:row>1</xdr:row>
      <xdr:rowOff>0</xdr:rowOff>
    </xdr:from>
    <xdr:to>
      <xdr:col>13</xdr:col>
      <xdr:colOff>800100</xdr:colOff>
      <xdr:row>12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95AD548-0814-4E46-9724-625238D8FE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1</xdr:row>
      <xdr:rowOff>0</xdr:rowOff>
    </xdr:from>
    <xdr:to>
      <xdr:col>20</xdr:col>
      <xdr:colOff>381000</xdr:colOff>
      <xdr:row>11</xdr:row>
      <xdr:rowOff>165100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3212E07-95FE-9545-A6F5-954F831B08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</xdr:row>
      <xdr:rowOff>186764</xdr:rowOff>
    </xdr:from>
    <xdr:to>
      <xdr:col>3</xdr:col>
      <xdr:colOff>56029</xdr:colOff>
      <xdr:row>45</xdr:row>
      <xdr:rowOff>128493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DFA9EDB-2149-EE4E-87B7-B0681ECE5B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</xdr:colOff>
      <xdr:row>12</xdr:row>
      <xdr:rowOff>168089</xdr:rowOff>
    </xdr:from>
    <xdr:to>
      <xdr:col>3</xdr:col>
      <xdr:colOff>56029</xdr:colOff>
      <xdr:row>28</xdr:row>
      <xdr:rowOff>166662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7258C86-A623-564C-A261-3D0381408E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0</xdr:colOff>
      <xdr:row>12</xdr:row>
      <xdr:rowOff>186764</xdr:rowOff>
    </xdr:from>
    <xdr:to>
      <xdr:col>8</xdr:col>
      <xdr:colOff>295088</xdr:colOff>
      <xdr:row>28</xdr:row>
      <xdr:rowOff>186763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58F933B-9205-CC48-BBFD-5CE66EBB5E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784411</xdr:colOff>
      <xdr:row>29</xdr:row>
      <xdr:rowOff>186764</xdr:rowOff>
    </xdr:from>
    <xdr:to>
      <xdr:col>8</xdr:col>
      <xdr:colOff>261471</xdr:colOff>
      <xdr:row>45</xdr:row>
      <xdr:rowOff>149411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A1043A3-3910-9346-AFCE-FDCCC30D48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821764</xdr:colOff>
      <xdr:row>29</xdr:row>
      <xdr:rowOff>168089</xdr:rowOff>
    </xdr:from>
    <xdr:to>
      <xdr:col>20</xdr:col>
      <xdr:colOff>504263</xdr:colOff>
      <xdr:row>45</xdr:row>
      <xdr:rowOff>130735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73BD7B1-197F-204A-AAFB-483311BC8F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18676</xdr:colOff>
      <xdr:row>12</xdr:row>
      <xdr:rowOff>112060</xdr:rowOff>
    </xdr:from>
    <xdr:to>
      <xdr:col>20</xdr:col>
      <xdr:colOff>373529</xdr:colOff>
      <xdr:row>28</xdr:row>
      <xdr:rowOff>74706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CFD8E58F-A9FD-9945-BE6C-AA100530AC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821764</xdr:colOff>
      <xdr:row>29</xdr:row>
      <xdr:rowOff>186764</xdr:rowOff>
    </xdr:from>
    <xdr:to>
      <xdr:col>14</xdr:col>
      <xdr:colOff>18676</xdr:colOff>
      <xdr:row>45</xdr:row>
      <xdr:rowOff>168088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6328C629-FDA4-A14B-82C5-E882585B2B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803088</xdr:colOff>
      <xdr:row>13</xdr:row>
      <xdr:rowOff>18677</xdr:rowOff>
    </xdr:from>
    <xdr:to>
      <xdr:col>13</xdr:col>
      <xdr:colOff>784411</xdr:colOff>
      <xdr:row>28</xdr:row>
      <xdr:rowOff>149412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B8AC50D-449B-A84F-90AA-606FC4C140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hamline-my.sharepoint.com/personal/dharless01_hamline_edu/Documents/attendance.xlsx" TargetMode="External"/><Relationship Id="rId1" Type="http://schemas.openxmlformats.org/officeDocument/2006/relationships/externalLinkPath" Target="https://hamline-my.sharepoint.com/personal/dharless01_hamline_edu/Documents/attendanc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attendance"/>
      <sheetName val="Packers"/>
      <sheetName val="Patriots"/>
      <sheetName val="Lions"/>
      <sheetName val="Cardinals"/>
      <sheetName val="Compared"/>
      <sheetName val="W vs L"/>
    </sheetNames>
    <sheetDataSet>
      <sheetData sheetId="0"/>
      <sheetData sheetId="1">
        <row r="1">
          <cell r="E1" t="str">
            <v>home</v>
          </cell>
          <cell r="H1" t="str">
            <v>weekly attendance</v>
          </cell>
        </row>
        <row r="2">
          <cell r="C2">
            <v>2000</v>
          </cell>
          <cell r="E2">
            <v>478747</v>
          </cell>
          <cell r="G2">
            <v>1</v>
          </cell>
          <cell r="H2">
            <v>59870</v>
          </cell>
        </row>
        <row r="3">
          <cell r="C3">
            <v>2000</v>
          </cell>
          <cell r="E3">
            <v>478747</v>
          </cell>
          <cell r="G3">
            <v>3</v>
          </cell>
          <cell r="H3">
            <v>59869</v>
          </cell>
        </row>
        <row r="4">
          <cell r="C4">
            <v>2000</v>
          </cell>
          <cell r="E4">
            <v>478747</v>
          </cell>
          <cell r="G4">
            <v>5</v>
          </cell>
          <cell r="H4">
            <v>59869</v>
          </cell>
        </row>
        <row r="5">
          <cell r="C5">
            <v>2000</v>
          </cell>
          <cell r="E5">
            <v>478747</v>
          </cell>
          <cell r="G5">
            <v>7</v>
          </cell>
          <cell r="H5">
            <v>59870</v>
          </cell>
        </row>
        <row r="6">
          <cell r="C6">
            <v>2000</v>
          </cell>
          <cell r="E6">
            <v>478747</v>
          </cell>
          <cell r="G6">
            <v>10</v>
          </cell>
          <cell r="H6">
            <v>59854</v>
          </cell>
        </row>
        <row r="7">
          <cell r="C7">
            <v>2000</v>
          </cell>
          <cell r="E7">
            <v>478747</v>
          </cell>
          <cell r="G7">
            <v>12</v>
          </cell>
          <cell r="H7">
            <v>59869</v>
          </cell>
        </row>
        <row r="8">
          <cell r="C8">
            <v>2000</v>
          </cell>
          <cell r="E8">
            <v>478747</v>
          </cell>
          <cell r="G8">
            <v>15</v>
          </cell>
          <cell r="H8">
            <v>59854</v>
          </cell>
        </row>
        <row r="9">
          <cell r="C9">
            <v>2000</v>
          </cell>
          <cell r="E9">
            <v>478747</v>
          </cell>
          <cell r="G9">
            <v>17</v>
          </cell>
          <cell r="H9">
            <v>59692</v>
          </cell>
        </row>
        <row r="10">
          <cell r="C10">
            <v>2001</v>
          </cell>
          <cell r="E10">
            <v>478433</v>
          </cell>
          <cell r="G10">
            <v>1</v>
          </cell>
          <cell r="H10">
            <v>59523</v>
          </cell>
        </row>
        <row r="11">
          <cell r="C11">
            <v>2001</v>
          </cell>
          <cell r="E11">
            <v>478433</v>
          </cell>
          <cell r="G11">
            <v>2</v>
          </cell>
          <cell r="H11">
            <v>59771</v>
          </cell>
        </row>
        <row r="12">
          <cell r="C12">
            <v>2001</v>
          </cell>
          <cell r="E12">
            <v>478433</v>
          </cell>
          <cell r="G12">
            <v>5</v>
          </cell>
          <cell r="H12">
            <v>59866</v>
          </cell>
        </row>
        <row r="13">
          <cell r="C13">
            <v>2001</v>
          </cell>
          <cell r="E13">
            <v>478433</v>
          </cell>
          <cell r="G13">
            <v>8</v>
          </cell>
          <cell r="H13">
            <v>59861</v>
          </cell>
        </row>
        <row r="14">
          <cell r="C14">
            <v>2001</v>
          </cell>
          <cell r="E14">
            <v>478433</v>
          </cell>
          <cell r="G14">
            <v>10</v>
          </cell>
          <cell r="H14">
            <v>59849</v>
          </cell>
        </row>
        <row r="15">
          <cell r="C15">
            <v>2001</v>
          </cell>
          <cell r="E15">
            <v>478433</v>
          </cell>
          <cell r="G15">
            <v>13</v>
          </cell>
          <cell r="H15">
            <v>59869</v>
          </cell>
        </row>
        <row r="16">
          <cell r="C16">
            <v>2001</v>
          </cell>
          <cell r="E16">
            <v>478433</v>
          </cell>
          <cell r="G16">
            <v>15</v>
          </cell>
          <cell r="H16">
            <v>59824</v>
          </cell>
        </row>
        <row r="17">
          <cell r="C17">
            <v>2001</v>
          </cell>
          <cell r="E17">
            <v>478433</v>
          </cell>
          <cell r="G17">
            <v>16</v>
          </cell>
          <cell r="H17">
            <v>59870</v>
          </cell>
        </row>
        <row r="18">
          <cell r="C18">
            <v>2002</v>
          </cell>
          <cell r="E18">
            <v>508788</v>
          </cell>
          <cell r="G18">
            <v>1</v>
          </cell>
          <cell r="H18">
            <v>63127</v>
          </cell>
        </row>
        <row r="19">
          <cell r="C19">
            <v>2002</v>
          </cell>
          <cell r="E19">
            <v>508788</v>
          </cell>
          <cell r="G19">
            <v>4</v>
          </cell>
          <cell r="H19">
            <v>63329</v>
          </cell>
        </row>
        <row r="20">
          <cell r="C20">
            <v>2002</v>
          </cell>
          <cell r="E20">
            <v>508788</v>
          </cell>
          <cell r="G20">
            <v>7</v>
          </cell>
          <cell r="H20">
            <v>63363</v>
          </cell>
        </row>
        <row r="21">
          <cell r="C21">
            <v>2002</v>
          </cell>
          <cell r="E21">
            <v>508788</v>
          </cell>
          <cell r="G21">
            <v>9</v>
          </cell>
          <cell r="H21">
            <v>63284</v>
          </cell>
        </row>
        <row r="22">
          <cell r="C22">
            <v>2002</v>
          </cell>
          <cell r="E22">
            <v>508788</v>
          </cell>
          <cell r="G22">
            <v>10</v>
          </cell>
          <cell r="H22">
            <v>63313</v>
          </cell>
        </row>
        <row r="23">
          <cell r="C23">
            <v>2002</v>
          </cell>
          <cell r="E23">
            <v>508788</v>
          </cell>
          <cell r="G23">
            <v>13</v>
          </cell>
          <cell r="H23">
            <v>64196</v>
          </cell>
        </row>
        <row r="24">
          <cell r="C24">
            <v>2002</v>
          </cell>
          <cell r="E24">
            <v>508788</v>
          </cell>
          <cell r="G24">
            <v>14</v>
          </cell>
          <cell r="H24">
            <v>64070</v>
          </cell>
        </row>
        <row r="25">
          <cell r="C25">
            <v>2002</v>
          </cell>
          <cell r="E25">
            <v>508788</v>
          </cell>
          <cell r="G25">
            <v>16</v>
          </cell>
          <cell r="H25">
            <v>64106</v>
          </cell>
        </row>
        <row r="26">
          <cell r="C26">
            <v>2003</v>
          </cell>
          <cell r="E26">
            <v>562819</v>
          </cell>
          <cell r="G26">
            <v>1</v>
          </cell>
          <cell r="H26">
            <v>70505</v>
          </cell>
        </row>
        <row r="27">
          <cell r="C27">
            <v>2003</v>
          </cell>
          <cell r="E27">
            <v>562819</v>
          </cell>
          <cell r="G27">
            <v>2</v>
          </cell>
          <cell r="H27">
            <v>70244</v>
          </cell>
        </row>
        <row r="28">
          <cell r="C28">
            <v>2003</v>
          </cell>
          <cell r="E28">
            <v>562819</v>
          </cell>
          <cell r="G28">
            <v>5</v>
          </cell>
          <cell r="H28">
            <v>70365</v>
          </cell>
        </row>
        <row r="29">
          <cell r="C29">
            <v>2003</v>
          </cell>
          <cell r="E29">
            <v>562819</v>
          </cell>
          <cell r="G29">
            <v>6</v>
          </cell>
          <cell r="H29">
            <v>70407</v>
          </cell>
        </row>
        <row r="30">
          <cell r="C30">
            <v>2003</v>
          </cell>
          <cell r="E30">
            <v>562819</v>
          </cell>
          <cell r="G30">
            <v>10</v>
          </cell>
          <cell r="H30">
            <v>70291</v>
          </cell>
        </row>
        <row r="31">
          <cell r="C31">
            <v>2003</v>
          </cell>
          <cell r="E31">
            <v>562819</v>
          </cell>
          <cell r="G31">
            <v>12</v>
          </cell>
          <cell r="H31">
            <v>70250</v>
          </cell>
        </row>
        <row r="32">
          <cell r="C32">
            <v>2003</v>
          </cell>
          <cell r="E32">
            <v>562819</v>
          </cell>
          <cell r="G32">
            <v>14</v>
          </cell>
          <cell r="H32">
            <v>70458</v>
          </cell>
        </row>
        <row r="33">
          <cell r="C33">
            <v>2003</v>
          </cell>
          <cell r="E33">
            <v>562819</v>
          </cell>
          <cell r="G33">
            <v>17</v>
          </cell>
          <cell r="H33">
            <v>70299</v>
          </cell>
        </row>
        <row r="34">
          <cell r="C34">
            <v>2004</v>
          </cell>
          <cell r="E34">
            <v>564400</v>
          </cell>
          <cell r="G34">
            <v>2</v>
          </cell>
          <cell r="H34">
            <v>70688</v>
          </cell>
        </row>
        <row r="35">
          <cell r="C35">
            <v>2004</v>
          </cell>
          <cell r="E35">
            <v>564400</v>
          </cell>
          <cell r="G35">
            <v>4</v>
          </cell>
          <cell r="H35">
            <v>70623</v>
          </cell>
        </row>
        <row r="36">
          <cell r="C36">
            <v>2004</v>
          </cell>
          <cell r="E36">
            <v>564400</v>
          </cell>
          <cell r="G36">
            <v>5</v>
          </cell>
          <cell r="H36">
            <v>70420</v>
          </cell>
        </row>
        <row r="37">
          <cell r="C37">
            <v>2004</v>
          </cell>
          <cell r="E37">
            <v>564400</v>
          </cell>
          <cell r="G37">
            <v>7</v>
          </cell>
          <cell r="H37">
            <v>70679</v>
          </cell>
        </row>
        <row r="38">
          <cell r="C38">
            <v>2004</v>
          </cell>
          <cell r="E38">
            <v>564400</v>
          </cell>
          <cell r="G38">
            <v>10</v>
          </cell>
          <cell r="H38">
            <v>70671</v>
          </cell>
        </row>
        <row r="39">
          <cell r="C39">
            <v>2004</v>
          </cell>
          <cell r="E39">
            <v>564400</v>
          </cell>
          <cell r="G39">
            <v>12</v>
          </cell>
          <cell r="H39">
            <v>70385</v>
          </cell>
        </row>
        <row r="40">
          <cell r="C40">
            <v>2004</v>
          </cell>
          <cell r="E40">
            <v>564400</v>
          </cell>
          <cell r="G40">
            <v>14</v>
          </cell>
          <cell r="H40">
            <v>70497</v>
          </cell>
        </row>
        <row r="41">
          <cell r="C41">
            <v>2004</v>
          </cell>
          <cell r="E41">
            <v>564400</v>
          </cell>
          <cell r="G41">
            <v>15</v>
          </cell>
          <cell r="H41">
            <v>70437</v>
          </cell>
        </row>
        <row r="42">
          <cell r="C42">
            <v>2005</v>
          </cell>
          <cell r="E42">
            <v>562419</v>
          </cell>
          <cell r="G42">
            <v>2</v>
          </cell>
          <cell r="H42">
            <v>70400</v>
          </cell>
        </row>
        <row r="43">
          <cell r="C43">
            <v>2005</v>
          </cell>
          <cell r="E43">
            <v>562419</v>
          </cell>
          <cell r="G43">
            <v>3</v>
          </cell>
          <cell r="H43">
            <v>70518</v>
          </cell>
        </row>
        <row r="44">
          <cell r="C44">
            <v>2005</v>
          </cell>
          <cell r="E44">
            <v>562419</v>
          </cell>
          <cell r="G44">
            <v>5</v>
          </cell>
          <cell r="H44">
            <v>70580</v>
          </cell>
        </row>
        <row r="45">
          <cell r="C45">
            <v>2005</v>
          </cell>
          <cell r="E45">
            <v>562419</v>
          </cell>
          <cell r="G45">
            <v>9</v>
          </cell>
          <cell r="H45">
            <v>70607</v>
          </cell>
        </row>
        <row r="46">
          <cell r="C46">
            <v>2005</v>
          </cell>
          <cell r="E46">
            <v>562419</v>
          </cell>
          <cell r="G46">
            <v>11</v>
          </cell>
          <cell r="H46">
            <v>70610</v>
          </cell>
        </row>
        <row r="47">
          <cell r="C47">
            <v>2005</v>
          </cell>
          <cell r="E47">
            <v>562419</v>
          </cell>
          <cell r="G47">
            <v>14</v>
          </cell>
          <cell r="H47">
            <v>70019</v>
          </cell>
        </row>
        <row r="48">
          <cell r="C48">
            <v>2005</v>
          </cell>
          <cell r="E48">
            <v>562419</v>
          </cell>
          <cell r="G48">
            <v>16</v>
          </cell>
          <cell r="H48">
            <v>69757</v>
          </cell>
        </row>
        <row r="49">
          <cell r="C49">
            <v>2005</v>
          </cell>
          <cell r="E49">
            <v>562419</v>
          </cell>
          <cell r="G49">
            <v>17</v>
          </cell>
          <cell r="H49">
            <v>69928</v>
          </cell>
        </row>
        <row r="50">
          <cell r="C50">
            <v>2006</v>
          </cell>
          <cell r="E50">
            <v>565749</v>
          </cell>
          <cell r="G50">
            <v>1</v>
          </cell>
          <cell r="H50">
            <v>70918</v>
          </cell>
        </row>
        <row r="51">
          <cell r="C51">
            <v>2006</v>
          </cell>
          <cell r="E51">
            <v>565749</v>
          </cell>
          <cell r="G51">
            <v>2</v>
          </cell>
          <cell r="H51">
            <v>70602</v>
          </cell>
        </row>
        <row r="52">
          <cell r="C52">
            <v>2006</v>
          </cell>
          <cell r="E52">
            <v>565749</v>
          </cell>
          <cell r="G52">
            <v>5</v>
          </cell>
          <cell r="H52">
            <v>70804</v>
          </cell>
        </row>
        <row r="53">
          <cell r="C53">
            <v>2006</v>
          </cell>
          <cell r="E53">
            <v>565749</v>
          </cell>
          <cell r="G53">
            <v>8</v>
          </cell>
          <cell r="H53">
            <v>70809</v>
          </cell>
        </row>
        <row r="54">
          <cell r="C54">
            <v>2006</v>
          </cell>
          <cell r="E54">
            <v>565749</v>
          </cell>
          <cell r="G54">
            <v>11</v>
          </cell>
          <cell r="H54">
            <v>70753</v>
          </cell>
        </row>
        <row r="55">
          <cell r="C55">
            <v>2006</v>
          </cell>
          <cell r="E55">
            <v>565749</v>
          </cell>
          <cell r="G55">
            <v>13</v>
          </cell>
          <cell r="H55">
            <v>70527</v>
          </cell>
        </row>
        <row r="56">
          <cell r="C56">
            <v>2006</v>
          </cell>
          <cell r="E56">
            <v>565749</v>
          </cell>
          <cell r="G56">
            <v>15</v>
          </cell>
          <cell r="H56">
            <v>70472</v>
          </cell>
          <cell r="O56">
            <v>2000.2654642724492</v>
          </cell>
        </row>
        <row r="57">
          <cell r="C57">
            <v>2006</v>
          </cell>
          <cell r="E57">
            <v>565749</v>
          </cell>
          <cell r="G57">
            <v>16</v>
          </cell>
          <cell r="H57">
            <v>70864</v>
          </cell>
          <cell r="O57">
            <v>2000.2654642724492</v>
          </cell>
        </row>
        <row r="58">
          <cell r="C58">
            <v>2007</v>
          </cell>
          <cell r="E58">
            <v>566443</v>
          </cell>
          <cell r="G58">
            <v>1</v>
          </cell>
          <cell r="H58">
            <v>70598</v>
          </cell>
          <cell r="O58">
            <v>2000.2654642724492</v>
          </cell>
        </row>
        <row r="59">
          <cell r="C59">
            <v>2007</v>
          </cell>
          <cell r="E59">
            <v>566443</v>
          </cell>
          <cell r="G59">
            <v>3</v>
          </cell>
          <cell r="H59">
            <v>70733</v>
          </cell>
          <cell r="O59">
            <v>2000.2654642724492</v>
          </cell>
        </row>
        <row r="60">
          <cell r="C60">
            <v>2007</v>
          </cell>
          <cell r="E60">
            <v>566443</v>
          </cell>
          <cell r="G60">
            <v>5</v>
          </cell>
          <cell r="H60">
            <v>70904</v>
          </cell>
          <cell r="O60">
            <v>2000.2654642724492</v>
          </cell>
        </row>
        <row r="61">
          <cell r="C61">
            <v>2007</v>
          </cell>
          <cell r="E61">
            <v>566443</v>
          </cell>
          <cell r="G61">
            <v>6</v>
          </cell>
          <cell r="H61">
            <v>70761</v>
          </cell>
          <cell r="O61">
            <v>2000.2654642724492</v>
          </cell>
        </row>
        <row r="62">
          <cell r="C62">
            <v>2007</v>
          </cell>
          <cell r="E62">
            <v>566443</v>
          </cell>
          <cell r="G62">
            <v>10</v>
          </cell>
          <cell r="H62">
            <v>70945</v>
          </cell>
          <cell r="O62">
            <v>2000.2654642724492</v>
          </cell>
        </row>
        <row r="63">
          <cell r="C63">
            <v>2007</v>
          </cell>
          <cell r="E63">
            <v>566443</v>
          </cell>
          <cell r="G63">
            <v>11</v>
          </cell>
          <cell r="H63">
            <v>70805</v>
          </cell>
          <cell r="O63">
            <v>2000.2654642724492</v>
          </cell>
        </row>
        <row r="64">
          <cell r="C64">
            <v>2007</v>
          </cell>
          <cell r="E64">
            <v>566443</v>
          </cell>
          <cell r="G64">
            <v>14</v>
          </cell>
          <cell r="H64">
            <v>70828</v>
          </cell>
          <cell r="O64">
            <v>2000.2654642724492</v>
          </cell>
        </row>
        <row r="65">
          <cell r="C65">
            <v>2007</v>
          </cell>
          <cell r="E65">
            <v>566443</v>
          </cell>
          <cell r="G65">
            <v>17</v>
          </cell>
          <cell r="H65">
            <v>70869</v>
          </cell>
          <cell r="O65">
            <v>2000.2654642724492</v>
          </cell>
        </row>
        <row r="66">
          <cell r="C66">
            <v>2008</v>
          </cell>
          <cell r="E66">
            <v>565460</v>
          </cell>
          <cell r="G66">
            <v>1</v>
          </cell>
          <cell r="H66">
            <v>71004</v>
          </cell>
          <cell r="O66">
            <v>2000.2654642724492</v>
          </cell>
        </row>
        <row r="67">
          <cell r="C67">
            <v>2008</v>
          </cell>
          <cell r="E67">
            <v>565460</v>
          </cell>
          <cell r="G67">
            <v>3</v>
          </cell>
          <cell r="H67">
            <v>71113</v>
          </cell>
          <cell r="O67">
            <v>2000.2654642724492</v>
          </cell>
        </row>
        <row r="68">
          <cell r="C68">
            <v>2008</v>
          </cell>
          <cell r="E68">
            <v>565460</v>
          </cell>
          <cell r="G68">
            <v>5</v>
          </cell>
          <cell r="H68">
            <v>70610</v>
          </cell>
          <cell r="O68">
            <v>2000.2654642724492</v>
          </cell>
        </row>
        <row r="69">
          <cell r="C69">
            <v>2008</v>
          </cell>
          <cell r="E69">
            <v>565460</v>
          </cell>
          <cell r="G69">
            <v>7</v>
          </cell>
          <cell r="H69">
            <v>71010</v>
          </cell>
          <cell r="O69">
            <v>2000.2654642724492</v>
          </cell>
        </row>
        <row r="70">
          <cell r="C70">
            <v>2008</v>
          </cell>
          <cell r="E70">
            <v>565460</v>
          </cell>
          <cell r="G70">
            <v>11</v>
          </cell>
          <cell r="H70">
            <v>71040</v>
          </cell>
          <cell r="O70">
            <v>2000.2654642724492</v>
          </cell>
        </row>
        <row r="71">
          <cell r="C71">
            <v>2008</v>
          </cell>
          <cell r="E71">
            <v>565460</v>
          </cell>
          <cell r="G71">
            <v>13</v>
          </cell>
          <cell r="H71">
            <v>70297</v>
          </cell>
          <cell r="O71">
            <v>2000.2654642724492</v>
          </cell>
        </row>
        <row r="72">
          <cell r="C72">
            <v>2008</v>
          </cell>
          <cell r="E72">
            <v>565460</v>
          </cell>
          <cell r="G72">
            <v>14</v>
          </cell>
          <cell r="H72">
            <v>70245</v>
          </cell>
          <cell r="O72">
            <v>2000.2654642724492</v>
          </cell>
        </row>
        <row r="73">
          <cell r="C73">
            <v>2008</v>
          </cell>
          <cell r="E73">
            <v>565460</v>
          </cell>
          <cell r="G73">
            <v>17</v>
          </cell>
          <cell r="H73">
            <v>70141</v>
          </cell>
          <cell r="O73">
            <v>2000.2427108838003</v>
          </cell>
        </row>
        <row r="74">
          <cell r="C74">
            <v>2009</v>
          </cell>
          <cell r="E74">
            <v>565666</v>
          </cell>
          <cell r="G74">
            <v>1</v>
          </cell>
          <cell r="H74">
            <v>70920</v>
          </cell>
          <cell r="O74">
            <v>2000.2427108838003</v>
          </cell>
        </row>
        <row r="75">
          <cell r="C75">
            <v>2009</v>
          </cell>
          <cell r="E75">
            <v>565666</v>
          </cell>
          <cell r="G75">
            <v>2</v>
          </cell>
          <cell r="H75">
            <v>70678</v>
          </cell>
          <cell r="O75">
            <v>2000.2427108838003</v>
          </cell>
        </row>
        <row r="76">
          <cell r="C76">
            <v>2009</v>
          </cell>
          <cell r="E76">
            <v>565666</v>
          </cell>
          <cell r="G76">
            <v>6</v>
          </cell>
          <cell r="H76">
            <v>70801</v>
          </cell>
          <cell r="O76">
            <v>2000.2427108838003</v>
          </cell>
        </row>
        <row r="77">
          <cell r="C77">
            <v>2009</v>
          </cell>
          <cell r="E77">
            <v>565666</v>
          </cell>
          <cell r="G77">
            <v>8</v>
          </cell>
          <cell r="H77">
            <v>71213</v>
          </cell>
          <cell r="O77">
            <v>2000.2427108838003</v>
          </cell>
        </row>
        <row r="78">
          <cell r="C78">
            <v>2009</v>
          </cell>
          <cell r="E78">
            <v>565666</v>
          </cell>
          <cell r="G78">
            <v>10</v>
          </cell>
          <cell r="H78">
            <v>70894</v>
          </cell>
          <cell r="O78">
            <v>2000.2427108838003</v>
          </cell>
        </row>
        <row r="79">
          <cell r="C79">
            <v>2009</v>
          </cell>
          <cell r="E79">
            <v>565666</v>
          </cell>
          <cell r="G79">
            <v>11</v>
          </cell>
          <cell r="H79">
            <v>70445</v>
          </cell>
          <cell r="O79">
            <v>2000.2427108838003</v>
          </cell>
        </row>
        <row r="80">
          <cell r="C80">
            <v>2009</v>
          </cell>
          <cell r="E80">
            <v>565666</v>
          </cell>
          <cell r="G80">
            <v>13</v>
          </cell>
          <cell r="H80">
            <v>70286</v>
          </cell>
          <cell r="O80">
            <v>2000.2427108838003</v>
          </cell>
        </row>
        <row r="81">
          <cell r="C81">
            <v>2009</v>
          </cell>
          <cell r="E81">
            <v>565666</v>
          </cell>
          <cell r="G81">
            <v>16</v>
          </cell>
          <cell r="H81">
            <v>70429</v>
          </cell>
          <cell r="O81">
            <v>2000.2427108838003</v>
          </cell>
        </row>
        <row r="82">
          <cell r="C82">
            <v>2010</v>
          </cell>
          <cell r="E82">
            <v>566362</v>
          </cell>
          <cell r="G82">
            <v>2</v>
          </cell>
          <cell r="H82">
            <v>70741</v>
          </cell>
          <cell r="O82">
            <v>2000.2427108838003</v>
          </cell>
        </row>
        <row r="83">
          <cell r="C83">
            <v>2010</v>
          </cell>
          <cell r="E83">
            <v>566362</v>
          </cell>
          <cell r="G83">
            <v>4</v>
          </cell>
          <cell r="H83">
            <v>70729</v>
          </cell>
          <cell r="O83">
            <v>2000.2427108838003</v>
          </cell>
        </row>
        <row r="84">
          <cell r="C84">
            <v>2010</v>
          </cell>
          <cell r="E84">
            <v>566362</v>
          </cell>
          <cell r="G84">
            <v>6</v>
          </cell>
          <cell r="H84">
            <v>70815</v>
          </cell>
          <cell r="O84">
            <v>2000.2427108838003</v>
          </cell>
        </row>
        <row r="85">
          <cell r="C85">
            <v>2010</v>
          </cell>
          <cell r="E85">
            <v>566362</v>
          </cell>
          <cell r="G85">
            <v>7</v>
          </cell>
          <cell r="H85">
            <v>71107</v>
          </cell>
          <cell r="O85">
            <v>2000.2427108838003</v>
          </cell>
        </row>
        <row r="86">
          <cell r="C86">
            <v>2010</v>
          </cell>
          <cell r="E86">
            <v>566362</v>
          </cell>
          <cell r="G86">
            <v>9</v>
          </cell>
          <cell r="H86">
            <v>70913</v>
          </cell>
          <cell r="O86">
            <v>2000.2427108838003</v>
          </cell>
        </row>
        <row r="87">
          <cell r="C87">
            <v>2010</v>
          </cell>
          <cell r="E87">
            <v>566362</v>
          </cell>
          <cell r="G87">
            <v>13</v>
          </cell>
          <cell r="H87">
            <v>70575</v>
          </cell>
          <cell r="O87">
            <v>2000.2427108838003</v>
          </cell>
        </row>
        <row r="88">
          <cell r="C88">
            <v>2010</v>
          </cell>
          <cell r="E88">
            <v>566362</v>
          </cell>
          <cell r="G88">
            <v>16</v>
          </cell>
          <cell r="H88">
            <v>70649</v>
          </cell>
          <cell r="O88">
            <v>2000.2427108838003</v>
          </cell>
        </row>
        <row r="89">
          <cell r="C89">
            <v>2010</v>
          </cell>
          <cell r="E89">
            <v>566362</v>
          </cell>
          <cell r="G89">
            <v>17</v>
          </cell>
          <cell r="H89">
            <v>70833</v>
          </cell>
          <cell r="O89">
            <v>2000.2427108838003</v>
          </cell>
        </row>
        <row r="90">
          <cell r="O90">
            <v>2002.4423258915617</v>
          </cell>
        </row>
        <row r="91">
          <cell r="O91">
            <v>2002.4423258915617</v>
          </cell>
        </row>
        <row r="92">
          <cell r="O92">
            <v>2002.4423258915617</v>
          </cell>
        </row>
        <row r="93">
          <cell r="O93">
            <v>2002.4423258915617</v>
          </cell>
        </row>
        <row r="94">
          <cell r="O94">
            <v>2002.4423258915617</v>
          </cell>
        </row>
        <row r="95">
          <cell r="O95">
            <v>2002.4423258915617</v>
          </cell>
        </row>
        <row r="96">
          <cell r="O96">
            <v>2002.4423258915617</v>
          </cell>
        </row>
        <row r="97">
          <cell r="O97">
            <v>2002.4423258915617</v>
          </cell>
        </row>
        <row r="98">
          <cell r="O98">
            <v>2002.4423258915617</v>
          </cell>
        </row>
        <row r="99">
          <cell r="O99">
            <v>2002.4423258915617</v>
          </cell>
        </row>
        <row r="100">
          <cell r="O100">
            <v>2002.4423258915617</v>
          </cell>
        </row>
        <row r="101">
          <cell r="O101">
            <v>2002.4423258915617</v>
          </cell>
        </row>
        <row r="102">
          <cell r="O102">
            <v>2002.4423258915617</v>
          </cell>
        </row>
        <row r="103">
          <cell r="O103">
            <v>2002.4423258915617</v>
          </cell>
        </row>
        <row r="104">
          <cell r="O104">
            <v>2002.4423258915617</v>
          </cell>
        </row>
        <row r="105">
          <cell r="O105">
            <v>2002.4423258915617</v>
          </cell>
        </row>
        <row r="106">
          <cell r="O106">
            <v>2006.357575388658</v>
          </cell>
        </row>
        <row r="107">
          <cell r="O107">
            <v>2006.357575388658</v>
          </cell>
        </row>
        <row r="108">
          <cell r="O108">
            <v>2006.357575388658</v>
          </cell>
        </row>
        <row r="109">
          <cell r="O109">
            <v>2006.357575388658</v>
          </cell>
        </row>
        <row r="110">
          <cell r="O110">
            <v>2006.357575388658</v>
          </cell>
        </row>
        <row r="111">
          <cell r="O111">
            <v>2006.357575388658</v>
          </cell>
        </row>
        <row r="112">
          <cell r="O112">
            <v>2006.357575388658</v>
          </cell>
        </row>
        <row r="113">
          <cell r="O113">
            <v>2006.357575388658</v>
          </cell>
        </row>
        <row r="114">
          <cell r="O114">
            <v>2006.357575388658</v>
          </cell>
        </row>
        <row r="115">
          <cell r="O115">
            <v>2006.357575388658</v>
          </cell>
        </row>
        <row r="116">
          <cell r="O116">
            <v>2006.357575388658</v>
          </cell>
        </row>
        <row r="117">
          <cell r="O117">
            <v>2006.357575388658</v>
          </cell>
        </row>
        <row r="118">
          <cell r="O118">
            <v>2006.357575388658</v>
          </cell>
        </row>
        <row r="119">
          <cell r="O119">
            <v>2006.357575388658</v>
          </cell>
        </row>
        <row r="120">
          <cell r="O120">
            <v>2006.357575388658</v>
          </cell>
        </row>
        <row r="121">
          <cell r="O121">
            <v>2006.357575388658</v>
          </cell>
        </row>
        <row r="122">
          <cell r="O122">
            <v>2006.357575388658</v>
          </cell>
        </row>
        <row r="123">
          <cell r="O123">
            <v>2006.4721394251355</v>
          </cell>
        </row>
        <row r="124">
          <cell r="O124">
            <v>2006.4721394251355</v>
          </cell>
        </row>
        <row r="125">
          <cell r="O125">
            <v>2006.4721394251355</v>
          </cell>
        </row>
        <row r="126">
          <cell r="O126">
            <v>2006.4721394251355</v>
          </cell>
        </row>
        <row r="127">
          <cell r="O127">
            <v>2006.4721394251355</v>
          </cell>
        </row>
        <row r="128">
          <cell r="O128">
            <v>2006.4721394251355</v>
          </cell>
        </row>
        <row r="129">
          <cell r="O129">
            <v>2006.4721394251355</v>
          </cell>
        </row>
        <row r="130">
          <cell r="O130">
            <v>2006.4721394251355</v>
          </cell>
        </row>
        <row r="131">
          <cell r="O131">
            <v>2006.4721394251355</v>
          </cell>
        </row>
        <row r="132">
          <cell r="O132">
            <v>2006.4721394251355</v>
          </cell>
        </row>
        <row r="133">
          <cell r="O133">
            <v>2006.4721394251355</v>
          </cell>
        </row>
        <row r="134">
          <cell r="O134">
            <v>2006.4721394251355</v>
          </cell>
        </row>
        <row r="135">
          <cell r="O135">
            <v>2006.4721394251355</v>
          </cell>
        </row>
        <row r="136">
          <cell r="O136">
            <v>2006.4721394251355</v>
          </cell>
        </row>
        <row r="137">
          <cell r="O137">
            <v>2006.4721394251355</v>
          </cell>
        </row>
        <row r="138">
          <cell r="O138">
            <v>2006.4721394251355</v>
          </cell>
        </row>
        <row r="139">
          <cell r="O139">
            <v>2006.4721394251355</v>
          </cell>
        </row>
        <row r="140">
          <cell r="O140">
            <v>2006.3285901801883</v>
          </cell>
        </row>
        <row r="141">
          <cell r="O141">
            <v>2006.3285901801883</v>
          </cell>
        </row>
        <row r="142">
          <cell r="O142">
            <v>2006.3285901801883</v>
          </cell>
        </row>
        <row r="143">
          <cell r="O143">
            <v>2006.3285901801883</v>
          </cell>
        </row>
        <row r="144">
          <cell r="O144">
            <v>2006.3285901801883</v>
          </cell>
        </row>
        <row r="145">
          <cell r="O145">
            <v>2006.3285901801883</v>
          </cell>
        </row>
        <row r="146">
          <cell r="O146">
            <v>2006.3285901801883</v>
          </cell>
        </row>
        <row r="147">
          <cell r="O147">
            <v>2006.3285901801883</v>
          </cell>
        </row>
        <row r="148">
          <cell r="O148">
            <v>2006.3285901801883</v>
          </cell>
        </row>
        <row r="149">
          <cell r="O149">
            <v>2006.3285901801883</v>
          </cell>
        </row>
        <row r="150">
          <cell r="O150">
            <v>2006.3285901801883</v>
          </cell>
        </row>
        <row r="151">
          <cell r="O151">
            <v>2006.3285901801883</v>
          </cell>
        </row>
        <row r="152">
          <cell r="O152">
            <v>2006.3285901801883</v>
          </cell>
        </row>
        <row r="153">
          <cell r="O153">
            <v>2006.3285901801883</v>
          </cell>
        </row>
        <row r="154">
          <cell r="O154">
            <v>2006.3285901801883</v>
          </cell>
        </row>
        <row r="155">
          <cell r="O155">
            <v>2006.3285901801883</v>
          </cell>
        </row>
        <row r="156">
          <cell r="O156">
            <v>2006.3285901801883</v>
          </cell>
        </row>
        <row r="157">
          <cell r="O157">
            <v>2006.5698920407003</v>
          </cell>
        </row>
        <row r="158">
          <cell r="O158">
            <v>2006.5698920407003</v>
          </cell>
        </row>
        <row r="159">
          <cell r="O159">
            <v>2006.5698920407003</v>
          </cell>
        </row>
        <row r="160">
          <cell r="O160">
            <v>2006.5698920407003</v>
          </cell>
        </row>
        <row r="161">
          <cell r="O161">
            <v>2006.5698920407003</v>
          </cell>
        </row>
        <row r="162">
          <cell r="O162">
            <v>2006.5698920407003</v>
          </cell>
        </row>
        <row r="163">
          <cell r="O163">
            <v>2006.5698920407003</v>
          </cell>
        </row>
        <row r="164">
          <cell r="O164">
            <v>2006.5698920407003</v>
          </cell>
        </row>
        <row r="165">
          <cell r="O165">
            <v>2006.5698920407003</v>
          </cell>
        </row>
        <row r="166">
          <cell r="O166">
            <v>2006.5698920407003</v>
          </cell>
        </row>
        <row r="167">
          <cell r="O167">
            <v>2006.5698920407003</v>
          </cell>
        </row>
        <row r="168">
          <cell r="O168">
            <v>2006.5698920407003</v>
          </cell>
        </row>
        <row r="169">
          <cell r="O169">
            <v>2006.5698920407003</v>
          </cell>
        </row>
        <row r="170">
          <cell r="O170">
            <v>2006.5698920407003</v>
          </cell>
        </row>
        <row r="171">
          <cell r="O171">
            <v>2006.5698920407003</v>
          </cell>
        </row>
        <row r="172">
          <cell r="O172">
            <v>2006.5698920407003</v>
          </cell>
        </row>
        <row r="173">
          <cell r="O173">
            <v>2006.5698920407003</v>
          </cell>
        </row>
        <row r="174">
          <cell r="O174">
            <v>2006.6201813773955</v>
          </cell>
        </row>
        <row r="175">
          <cell r="O175">
            <v>2006.6201813773955</v>
          </cell>
        </row>
        <row r="176">
          <cell r="O176">
            <v>2006.6201813773955</v>
          </cell>
        </row>
        <row r="177">
          <cell r="O177">
            <v>2006.6201813773955</v>
          </cell>
        </row>
        <row r="178">
          <cell r="O178">
            <v>2006.6201813773955</v>
          </cell>
        </row>
        <row r="179">
          <cell r="O179">
            <v>2006.6201813773955</v>
          </cell>
        </row>
        <row r="180">
          <cell r="O180">
            <v>2006.6201813773955</v>
          </cell>
        </row>
        <row r="181">
          <cell r="O181">
            <v>2006.6201813773955</v>
          </cell>
        </row>
        <row r="182">
          <cell r="O182">
            <v>2006.6201813773955</v>
          </cell>
        </row>
        <row r="183">
          <cell r="O183">
            <v>2006.6201813773955</v>
          </cell>
        </row>
        <row r="184">
          <cell r="O184">
            <v>2006.6201813773955</v>
          </cell>
        </row>
        <row r="185">
          <cell r="O185">
            <v>2006.6201813773955</v>
          </cell>
        </row>
        <row r="186">
          <cell r="O186">
            <v>2006.6201813773955</v>
          </cell>
        </row>
        <row r="187">
          <cell r="O187">
            <v>2006.6201813773955</v>
          </cell>
        </row>
        <row r="188">
          <cell r="O188">
            <v>2006.6201813773955</v>
          </cell>
        </row>
        <row r="189">
          <cell r="O189">
            <v>2006.6201813773955</v>
          </cell>
        </row>
        <row r="190">
          <cell r="O190">
            <v>2006.6201813773955</v>
          </cell>
        </row>
        <row r="191">
          <cell r="O191">
            <v>2006.5489502275807</v>
          </cell>
        </row>
        <row r="192">
          <cell r="O192">
            <v>2006.5489502275807</v>
          </cell>
        </row>
        <row r="193">
          <cell r="O193">
            <v>2006.5489502275807</v>
          </cell>
        </row>
        <row r="194">
          <cell r="O194">
            <v>2006.5489502275807</v>
          </cell>
        </row>
        <row r="195">
          <cell r="O195">
            <v>2006.5489502275807</v>
          </cell>
        </row>
        <row r="196">
          <cell r="O196">
            <v>2006.5489502275807</v>
          </cell>
        </row>
        <row r="197">
          <cell r="O197">
            <v>2006.5489502275807</v>
          </cell>
        </row>
        <row r="198">
          <cell r="O198">
            <v>2006.5489502275807</v>
          </cell>
        </row>
        <row r="199">
          <cell r="O199">
            <v>2006.5489502275807</v>
          </cell>
        </row>
        <row r="200">
          <cell r="O200">
            <v>2006.5489502275807</v>
          </cell>
        </row>
        <row r="201">
          <cell r="O201">
            <v>2006.5489502275807</v>
          </cell>
        </row>
        <row r="202">
          <cell r="O202">
            <v>2006.5489502275807</v>
          </cell>
        </row>
        <row r="203">
          <cell r="O203">
            <v>2006.5489502275807</v>
          </cell>
        </row>
        <row r="204">
          <cell r="O204">
            <v>2006.5489502275807</v>
          </cell>
        </row>
        <row r="205">
          <cell r="O205">
            <v>2006.5489502275807</v>
          </cell>
        </row>
        <row r="206">
          <cell r="O206">
            <v>2006.5489502275807</v>
          </cell>
        </row>
        <row r="207">
          <cell r="O207">
            <v>2006.5489502275807</v>
          </cell>
        </row>
        <row r="208">
          <cell r="O208">
            <v>2006.5638776099427</v>
          </cell>
        </row>
        <row r="209">
          <cell r="O209">
            <v>2006.5638776099427</v>
          </cell>
        </row>
        <row r="210">
          <cell r="O210">
            <v>2006.5638776099427</v>
          </cell>
        </row>
        <row r="211">
          <cell r="O211">
            <v>2006.5638776099427</v>
          </cell>
        </row>
        <row r="212">
          <cell r="O212">
            <v>2006.5638776099427</v>
          </cell>
        </row>
        <row r="213">
          <cell r="O213">
            <v>2006.5638776099427</v>
          </cell>
        </row>
        <row r="214">
          <cell r="O214">
            <v>2006.5638776099427</v>
          </cell>
        </row>
        <row r="215">
          <cell r="O215">
            <v>2006.5638776099427</v>
          </cell>
        </row>
        <row r="216">
          <cell r="O216">
            <v>2006.5638776099427</v>
          </cell>
        </row>
        <row r="217">
          <cell r="O217">
            <v>2006.5638776099427</v>
          </cell>
        </row>
        <row r="218">
          <cell r="O218">
            <v>2006.5638776099427</v>
          </cell>
        </row>
        <row r="219">
          <cell r="O219">
            <v>2006.5638776099427</v>
          </cell>
        </row>
        <row r="220">
          <cell r="O220">
            <v>2006.5638776099427</v>
          </cell>
        </row>
        <row r="221">
          <cell r="O221">
            <v>2006.5638776099427</v>
          </cell>
        </row>
        <row r="222">
          <cell r="O222">
            <v>2006.5638776099427</v>
          </cell>
        </row>
        <row r="223">
          <cell r="O223">
            <v>2006.5638776099427</v>
          </cell>
        </row>
        <row r="224">
          <cell r="O224">
            <v>2006.5638776099427</v>
          </cell>
        </row>
        <row r="225">
          <cell r="O225">
            <v>2006.6143118726804</v>
          </cell>
        </row>
        <row r="226">
          <cell r="O226">
            <v>2006.6143118726804</v>
          </cell>
        </row>
        <row r="227">
          <cell r="O227">
            <v>2006.6143118726804</v>
          </cell>
        </row>
        <row r="228">
          <cell r="O228">
            <v>2006.6143118726804</v>
          </cell>
        </row>
        <row r="229">
          <cell r="O229">
            <v>2006.6143118726804</v>
          </cell>
        </row>
        <row r="230">
          <cell r="O230">
            <v>2006.6143118726804</v>
          </cell>
        </row>
        <row r="231">
          <cell r="O231">
            <v>2006.6143118726804</v>
          </cell>
        </row>
        <row r="232">
          <cell r="O232">
            <v>2006.6143118726804</v>
          </cell>
        </row>
        <row r="233">
          <cell r="O233">
            <v>2006.6143118726804</v>
          </cell>
        </row>
        <row r="234">
          <cell r="O234">
            <v>2006.6143118726804</v>
          </cell>
        </row>
        <row r="235">
          <cell r="O235">
            <v>2006.6143118726804</v>
          </cell>
        </row>
        <row r="236">
          <cell r="O236">
            <v>2006.6143118726804</v>
          </cell>
        </row>
        <row r="237">
          <cell r="O237">
            <v>2006.6143118726804</v>
          </cell>
        </row>
        <row r="238">
          <cell r="O238">
            <v>2006.6143118726804</v>
          </cell>
        </row>
        <row r="239">
          <cell r="O239">
            <v>2006.6143118726804</v>
          </cell>
        </row>
        <row r="240">
          <cell r="O240">
            <v>2006.6143118726804</v>
          </cell>
        </row>
        <row r="241">
          <cell r="O241">
            <v>2006.6143118726804</v>
          </cell>
        </row>
      </sheetData>
      <sheetData sheetId="2">
        <row r="1">
          <cell r="E1" t="str">
            <v>home</v>
          </cell>
          <cell r="H1" t="str">
            <v>weekly_attendance</v>
          </cell>
        </row>
        <row r="2">
          <cell r="C2">
            <v>2000</v>
          </cell>
          <cell r="E2">
            <v>482336</v>
          </cell>
          <cell r="G2">
            <v>1</v>
          </cell>
          <cell r="H2">
            <v>60292</v>
          </cell>
        </row>
        <row r="3">
          <cell r="C3">
            <v>2000</v>
          </cell>
          <cell r="E3">
            <v>482336</v>
          </cell>
          <cell r="G3">
            <v>3</v>
          </cell>
          <cell r="H3">
            <v>60292</v>
          </cell>
        </row>
        <row r="4">
          <cell r="C4">
            <v>2000</v>
          </cell>
          <cell r="E4">
            <v>482336</v>
          </cell>
          <cell r="G4">
            <v>6</v>
          </cell>
          <cell r="H4">
            <v>60292</v>
          </cell>
        </row>
        <row r="5">
          <cell r="C5">
            <v>2000</v>
          </cell>
          <cell r="E5">
            <v>482336</v>
          </cell>
          <cell r="G5">
            <v>7</v>
          </cell>
          <cell r="H5">
            <v>60292</v>
          </cell>
        </row>
        <row r="6">
          <cell r="C6">
            <v>2000</v>
          </cell>
          <cell r="E6">
            <v>482336</v>
          </cell>
          <cell r="G6">
            <v>10</v>
          </cell>
          <cell r="H6">
            <v>60292</v>
          </cell>
        </row>
        <row r="7">
          <cell r="C7">
            <v>2000</v>
          </cell>
          <cell r="E7">
            <v>482336</v>
          </cell>
          <cell r="G7">
            <v>12</v>
          </cell>
          <cell r="H7">
            <v>60292</v>
          </cell>
        </row>
        <row r="8">
          <cell r="C8">
            <v>2000</v>
          </cell>
          <cell r="E8">
            <v>482336</v>
          </cell>
          <cell r="G8">
            <v>14</v>
          </cell>
          <cell r="H8">
            <v>60292</v>
          </cell>
        </row>
        <row r="9">
          <cell r="C9">
            <v>2000</v>
          </cell>
          <cell r="E9">
            <v>482336</v>
          </cell>
          <cell r="G9">
            <v>17</v>
          </cell>
          <cell r="H9">
            <v>60292</v>
          </cell>
        </row>
        <row r="10">
          <cell r="C10">
            <v>2001</v>
          </cell>
          <cell r="E10">
            <v>482336</v>
          </cell>
          <cell r="G10">
            <v>2</v>
          </cell>
          <cell r="H10">
            <v>60292</v>
          </cell>
        </row>
        <row r="11">
          <cell r="C11">
            <v>2001</v>
          </cell>
          <cell r="E11">
            <v>482336</v>
          </cell>
          <cell r="G11">
            <v>3</v>
          </cell>
          <cell r="H11">
            <v>60292</v>
          </cell>
        </row>
        <row r="12">
          <cell r="C12">
            <v>2001</v>
          </cell>
          <cell r="E12">
            <v>482336</v>
          </cell>
          <cell r="G12">
            <v>5</v>
          </cell>
          <cell r="H12">
            <v>60292</v>
          </cell>
        </row>
        <row r="13">
          <cell r="C13">
            <v>2001</v>
          </cell>
          <cell r="E13">
            <v>482336</v>
          </cell>
          <cell r="G13">
            <v>9</v>
          </cell>
          <cell r="H13">
            <v>60292</v>
          </cell>
        </row>
        <row r="14">
          <cell r="C14">
            <v>2001</v>
          </cell>
          <cell r="E14">
            <v>482336</v>
          </cell>
          <cell r="G14">
            <v>10</v>
          </cell>
          <cell r="H14">
            <v>60292</v>
          </cell>
        </row>
        <row r="15">
          <cell r="C15">
            <v>2001</v>
          </cell>
          <cell r="E15">
            <v>482336</v>
          </cell>
          <cell r="G15">
            <v>11</v>
          </cell>
          <cell r="H15">
            <v>60292</v>
          </cell>
        </row>
        <row r="16">
          <cell r="C16">
            <v>2001</v>
          </cell>
          <cell r="E16">
            <v>482336</v>
          </cell>
          <cell r="G16">
            <v>13</v>
          </cell>
          <cell r="H16">
            <v>60292</v>
          </cell>
        </row>
        <row r="17">
          <cell r="C17">
            <v>2001</v>
          </cell>
          <cell r="E17">
            <v>482336</v>
          </cell>
          <cell r="G17">
            <v>15</v>
          </cell>
          <cell r="H17">
            <v>60292</v>
          </cell>
        </row>
        <row r="18">
          <cell r="C18">
            <v>2002</v>
          </cell>
          <cell r="E18">
            <v>547488</v>
          </cell>
          <cell r="G18">
            <v>1</v>
          </cell>
          <cell r="H18">
            <v>68436</v>
          </cell>
        </row>
        <row r="19">
          <cell r="C19">
            <v>2002</v>
          </cell>
          <cell r="E19">
            <v>547488</v>
          </cell>
          <cell r="G19">
            <v>3</v>
          </cell>
          <cell r="H19">
            <v>68436</v>
          </cell>
        </row>
        <row r="20">
          <cell r="C20">
            <v>2002</v>
          </cell>
          <cell r="E20">
            <v>547488</v>
          </cell>
          <cell r="G20">
            <v>6</v>
          </cell>
          <cell r="H20">
            <v>68436</v>
          </cell>
        </row>
        <row r="21">
          <cell r="C21">
            <v>2002</v>
          </cell>
          <cell r="E21">
            <v>547488</v>
          </cell>
          <cell r="G21">
            <v>8</v>
          </cell>
          <cell r="H21">
            <v>68436</v>
          </cell>
        </row>
        <row r="22">
          <cell r="C22">
            <v>2002</v>
          </cell>
          <cell r="E22">
            <v>547488</v>
          </cell>
          <cell r="G22">
            <v>11</v>
          </cell>
          <cell r="H22">
            <v>62552</v>
          </cell>
        </row>
        <row r="23">
          <cell r="C23">
            <v>2002</v>
          </cell>
          <cell r="E23">
            <v>547488</v>
          </cell>
          <cell r="G23">
            <v>12</v>
          </cell>
          <cell r="H23">
            <v>68436</v>
          </cell>
        </row>
        <row r="24">
          <cell r="C24">
            <v>2002</v>
          </cell>
          <cell r="E24">
            <v>547488</v>
          </cell>
          <cell r="G24">
            <v>14</v>
          </cell>
          <cell r="H24">
            <v>68436</v>
          </cell>
        </row>
        <row r="25">
          <cell r="C25">
            <v>2002</v>
          </cell>
          <cell r="E25">
            <v>547488</v>
          </cell>
          <cell r="G25">
            <v>16</v>
          </cell>
          <cell r="H25">
            <v>68436</v>
          </cell>
        </row>
        <row r="26">
          <cell r="C26">
            <v>2002</v>
          </cell>
          <cell r="E26">
            <v>547488</v>
          </cell>
          <cell r="G26">
            <v>17</v>
          </cell>
          <cell r="H26">
            <v>68436</v>
          </cell>
        </row>
        <row r="27">
          <cell r="C27">
            <v>2003</v>
          </cell>
          <cell r="E27">
            <v>547488</v>
          </cell>
          <cell r="G27">
            <v>3</v>
          </cell>
          <cell r="H27">
            <v>68436</v>
          </cell>
        </row>
        <row r="28">
          <cell r="C28">
            <v>2003</v>
          </cell>
          <cell r="E28">
            <v>547488</v>
          </cell>
          <cell r="G28">
            <v>5</v>
          </cell>
          <cell r="H28">
            <v>68436</v>
          </cell>
        </row>
        <row r="29">
          <cell r="C29">
            <v>2003</v>
          </cell>
          <cell r="E29">
            <v>547488</v>
          </cell>
          <cell r="G29">
            <v>6</v>
          </cell>
          <cell r="H29">
            <v>68436</v>
          </cell>
        </row>
        <row r="30">
          <cell r="C30">
            <v>2003</v>
          </cell>
          <cell r="E30">
            <v>547488</v>
          </cell>
          <cell r="G30">
            <v>8</v>
          </cell>
          <cell r="H30">
            <v>68436</v>
          </cell>
        </row>
        <row r="31">
          <cell r="C31">
            <v>2003</v>
          </cell>
          <cell r="E31">
            <v>547488</v>
          </cell>
          <cell r="G31">
            <v>11</v>
          </cell>
          <cell r="H31">
            <v>68436</v>
          </cell>
        </row>
        <row r="32">
          <cell r="C32">
            <v>2003</v>
          </cell>
          <cell r="E32">
            <v>547488</v>
          </cell>
          <cell r="G32">
            <v>14</v>
          </cell>
          <cell r="H32">
            <v>68436</v>
          </cell>
        </row>
        <row r="33">
          <cell r="C33">
            <v>2003</v>
          </cell>
          <cell r="E33">
            <v>547488</v>
          </cell>
          <cell r="G33">
            <v>15</v>
          </cell>
          <cell r="H33">
            <v>68436</v>
          </cell>
        </row>
        <row r="34">
          <cell r="C34">
            <v>2003</v>
          </cell>
          <cell r="E34">
            <v>547488</v>
          </cell>
          <cell r="G34">
            <v>17</v>
          </cell>
          <cell r="H34">
            <v>68436</v>
          </cell>
        </row>
        <row r="35">
          <cell r="C35">
            <v>2004</v>
          </cell>
          <cell r="E35">
            <v>550048</v>
          </cell>
          <cell r="G35">
            <v>1</v>
          </cell>
          <cell r="H35">
            <v>68756</v>
          </cell>
        </row>
        <row r="36">
          <cell r="C36">
            <v>2004</v>
          </cell>
          <cell r="E36">
            <v>550048</v>
          </cell>
          <cell r="G36">
            <v>5</v>
          </cell>
          <cell r="H36">
            <v>68756</v>
          </cell>
        </row>
        <row r="37">
          <cell r="C37">
            <v>2004</v>
          </cell>
          <cell r="E37">
            <v>550048</v>
          </cell>
          <cell r="G37">
            <v>6</v>
          </cell>
          <cell r="H37">
            <v>68756</v>
          </cell>
        </row>
        <row r="38">
          <cell r="C38">
            <v>2004</v>
          </cell>
          <cell r="E38">
            <v>550048</v>
          </cell>
          <cell r="G38">
            <v>7</v>
          </cell>
          <cell r="H38">
            <v>68756</v>
          </cell>
        </row>
        <row r="39">
          <cell r="C39">
            <v>2004</v>
          </cell>
          <cell r="E39">
            <v>550048</v>
          </cell>
          <cell r="G39">
            <v>10</v>
          </cell>
          <cell r="H39">
            <v>68756</v>
          </cell>
        </row>
        <row r="40">
          <cell r="C40">
            <v>2004</v>
          </cell>
          <cell r="E40">
            <v>550048</v>
          </cell>
          <cell r="G40">
            <v>12</v>
          </cell>
          <cell r="H40">
            <v>68756</v>
          </cell>
        </row>
        <row r="41">
          <cell r="C41">
            <v>2004</v>
          </cell>
          <cell r="E41">
            <v>550048</v>
          </cell>
          <cell r="G41">
            <v>14</v>
          </cell>
          <cell r="H41">
            <v>68756</v>
          </cell>
        </row>
        <row r="42">
          <cell r="C42">
            <v>2004</v>
          </cell>
          <cell r="E42">
            <v>550048</v>
          </cell>
          <cell r="G42">
            <v>17</v>
          </cell>
          <cell r="H42">
            <v>68756</v>
          </cell>
        </row>
        <row r="43">
          <cell r="C43">
            <v>2005</v>
          </cell>
          <cell r="E43">
            <v>550048</v>
          </cell>
          <cell r="G43">
            <v>1</v>
          </cell>
          <cell r="H43">
            <v>68756</v>
          </cell>
        </row>
        <row r="44">
          <cell r="C44">
            <v>2005</v>
          </cell>
          <cell r="E44">
            <v>550048</v>
          </cell>
          <cell r="G44">
            <v>4</v>
          </cell>
          <cell r="H44">
            <v>68756</v>
          </cell>
        </row>
        <row r="45">
          <cell r="C45">
            <v>2005</v>
          </cell>
          <cell r="E45">
            <v>550048</v>
          </cell>
          <cell r="G45">
            <v>8</v>
          </cell>
          <cell r="H45">
            <v>68756</v>
          </cell>
        </row>
        <row r="46">
          <cell r="C46">
            <v>2005</v>
          </cell>
          <cell r="E46">
            <v>550048</v>
          </cell>
          <cell r="G46">
            <v>9</v>
          </cell>
          <cell r="H46">
            <v>68756</v>
          </cell>
        </row>
        <row r="47">
          <cell r="C47">
            <v>2005</v>
          </cell>
          <cell r="E47">
            <v>550048</v>
          </cell>
          <cell r="G47">
            <v>11</v>
          </cell>
          <cell r="H47">
            <v>68756</v>
          </cell>
        </row>
        <row r="48">
          <cell r="C48">
            <v>2005</v>
          </cell>
          <cell r="E48">
            <v>550048</v>
          </cell>
          <cell r="G48">
            <v>13</v>
          </cell>
          <cell r="H48">
            <v>68756</v>
          </cell>
        </row>
        <row r="49">
          <cell r="C49">
            <v>2005</v>
          </cell>
          <cell r="E49">
            <v>550048</v>
          </cell>
          <cell r="G49">
            <v>15</v>
          </cell>
          <cell r="H49">
            <v>68756</v>
          </cell>
        </row>
        <row r="50">
          <cell r="C50">
            <v>2005</v>
          </cell>
          <cell r="E50">
            <v>550048</v>
          </cell>
          <cell r="G50">
            <v>17</v>
          </cell>
          <cell r="H50">
            <v>68756</v>
          </cell>
        </row>
        <row r="51">
          <cell r="C51">
            <v>2006</v>
          </cell>
          <cell r="E51">
            <v>550048</v>
          </cell>
          <cell r="G51">
            <v>1</v>
          </cell>
          <cell r="H51">
            <v>68756</v>
          </cell>
        </row>
        <row r="52">
          <cell r="C52">
            <v>2006</v>
          </cell>
          <cell r="E52">
            <v>550048</v>
          </cell>
          <cell r="G52">
            <v>3</v>
          </cell>
          <cell r="H52">
            <v>68756</v>
          </cell>
        </row>
        <row r="53">
          <cell r="C53">
            <v>2006</v>
          </cell>
          <cell r="E53">
            <v>550048</v>
          </cell>
          <cell r="G53">
            <v>5</v>
          </cell>
          <cell r="H53">
            <v>68756</v>
          </cell>
        </row>
        <row r="54">
          <cell r="C54">
            <v>2006</v>
          </cell>
          <cell r="E54">
            <v>550048</v>
          </cell>
          <cell r="G54">
            <v>9</v>
          </cell>
          <cell r="H54">
            <v>68756</v>
          </cell>
        </row>
        <row r="55">
          <cell r="C55">
            <v>2006</v>
          </cell>
          <cell r="E55">
            <v>550048</v>
          </cell>
          <cell r="G55">
            <v>10</v>
          </cell>
          <cell r="H55">
            <v>68756</v>
          </cell>
        </row>
        <row r="56">
          <cell r="C56">
            <v>2006</v>
          </cell>
          <cell r="E56">
            <v>550048</v>
          </cell>
          <cell r="G56">
            <v>12</v>
          </cell>
          <cell r="H56">
            <v>68756</v>
          </cell>
          <cell r="O56">
            <v>2000.3739017649511</v>
          </cell>
        </row>
        <row r="57">
          <cell r="C57">
            <v>2006</v>
          </cell>
          <cell r="E57">
            <v>550048</v>
          </cell>
          <cell r="G57">
            <v>13</v>
          </cell>
          <cell r="H57">
            <v>68756</v>
          </cell>
          <cell r="O57">
            <v>2000.3739017649511</v>
          </cell>
        </row>
        <row r="58">
          <cell r="C58">
            <v>2006</v>
          </cell>
          <cell r="E58">
            <v>550048</v>
          </cell>
          <cell r="G58">
            <v>15</v>
          </cell>
          <cell r="H58">
            <v>68756</v>
          </cell>
          <cell r="O58">
            <v>2000.3739017649511</v>
          </cell>
        </row>
        <row r="59">
          <cell r="C59">
            <v>2007</v>
          </cell>
          <cell r="E59">
            <v>550048</v>
          </cell>
          <cell r="G59">
            <v>2</v>
          </cell>
          <cell r="H59">
            <v>68756</v>
          </cell>
          <cell r="O59">
            <v>2000.3739017649511</v>
          </cell>
        </row>
        <row r="60">
          <cell r="C60">
            <v>2007</v>
          </cell>
          <cell r="E60">
            <v>550048</v>
          </cell>
          <cell r="G60">
            <v>3</v>
          </cell>
          <cell r="H60">
            <v>68756</v>
          </cell>
          <cell r="O60">
            <v>2000.3739017649511</v>
          </cell>
        </row>
        <row r="61">
          <cell r="C61">
            <v>2007</v>
          </cell>
          <cell r="E61">
            <v>550048</v>
          </cell>
          <cell r="G61">
            <v>5</v>
          </cell>
          <cell r="H61">
            <v>68756</v>
          </cell>
          <cell r="O61">
            <v>2000.3739017649511</v>
          </cell>
        </row>
        <row r="62">
          <cell r="C62">
            <v>2007</v>
          </cell>
          <cell r="E62">
            <v>550048</v>
          </cell>
          <cell r="G62">
            <v>8</v>
          </cell>
          <cell r="H62">
            <v>68756</v>
          </cell>
          <cell r="O62">
            <v>2000.3739017649511</v>
          </cell>
        </row>
        <row r="63">
          <cell r="C63">
            <v>2007</v>
          </cell>
          <cell r="E63">
            <v>550048</v>
          </cell>
          <cell r="G63">
            <v>12</v>
          </cell>
          <cell r="H63">
            <v>68756</v>
          </cell>
          <cell r="O63">
            <v>2000.3739017649511</v>
          </cell>
        </row>
        <row r="64">
          <cell r="C64">
            <v>2007</v>
          </cell>
          <cell r="E64">
            <v>550048</v>
          </cell>
          <cell r="G64">
            <v>14</v>
          </cell>
          <cell r="H64">
            <v>68756</v>
          </cell>
          <cell r="O64">
            <v>2000.3739017649511</v>
          </cell>
        </row>
        <row r="65">
          <cell r="C65">
            <v>2007</v>
          </cell>
          <cell r="E65">
            <v>550048</v>
          </cell>
          <cell r="G65">
            <v>15</v>
          </cell>
          <cell r="H65">
            <v>68756</v>
          </cell>
          <cell r="O65">
            <v>2000.3739017649511</v>
          </cell>
        </row>
        <row r="66">
          <cell r="C66">
            <v>2007</v>
          </cell>
          <cell r="E66">
            <v>550048</v>
          </cell>
          <cell r="G66">
            <v>16</v>
          </cell>
          <cell r="H66">
            <v>68756</v>
          </cell>
          <cell r="O66">
            <v>2000.3739017649511</v>
          </cell>
        </row>
        <row r="67">
          <cell r="C67">
            <v>2008</v>
          </cell>
          <cell r="E67">
            <v>550048</v>
          </cell>
          <cell r="G67">
            <v>1</v>
          </cell>
          <cell r="H67">
            <v>68756</v>
          </cell>
          <cell r="O67">
            <v>2000.3739017649511</v>
          </cell>
        </row>
        <row r="68">
          <cell r="C68">
            <v>2008</v>
          </cell>
          <cell r="E68">
            <v>550048</v>
          </cell>
          <cell r="G68">
            <v>3</v>
          </cell>
          <cell r="H68">
            <v>68756</v>
          </cell>
          <cell r="O68">
            <v>2000.3739017649511</v>
          </cell>
        </row>
        <row r="69">
          <cell r="C69">
            <v>2008</v>
          </cell>
          <cell r="E69">
            <v>550048</v>
          </cell>
          <cell r="G69">
            <v>7</v>
          </cell>
          <cell r="H69">
            <v>68756</v>
          </cell>
          <cell r="O69">
            <v>2000.3739017649511</v>
          </cell>
        </row>
        <row r="70">
          <cell r="C70">
            <v>2008</v>
          </cell>
          <cell r="E70">
            <v>550048</v>
          </cell>
          <cell r="G70">
            <v>8</v>
          </cell>
          <cell r="H70">
            <v>68756</v>
          </cell>
          <cell r="O70">
            <v>2000.3739017649511</v>
          </cell>
        </row>
        <row r="71">
          <cell r="C71">
            <v>2008</v>
          </cell>
          <cell r="E71">
            <v>550048</v>
          </cell>
          <cell r="G71">
            <v>10</v>
          </cell>
          <cell r="H71">
            <v>68756</v>
          </cell>
          <cell r="O71">
            <v>2000.3739017649511</v>
          </cell>
        </row>
        <row r="72">
          <cell r="C72">
            <v>2008</v>
          </cell>
          <cell r="E72">
            <v>550048</v>
          </cell>
          <cell r="G72">
            <v>11</v>
          </cell>
          <cell r="H72">
            <v>68756</v>
          </cell>
          <cell r="O72">
            <v>2000.3739017649511</v>
          </cell>
        </row>
        <row r="73">
          <cell r="C73">
            <v>2008</v>
          </cell>
          <cell r="E73">
            <v>550048</v>
          </cell>
          <cell r="G73">
            <v>13</v>
          </cell>
          <cell r="H73">
            <v>68756</v>
          </cell>
          <cell r="O73">
            <v>2000.3739017649511</v>
          </cell>
        </row>
        <row r="74">
          <cell r="C74">
            <v>2008</v>
          </cell>
          <cell r="E74">
            <v>550048</v>
          </cell>
          <cell r="G74">
            <v>16</v>
          </cell>
          <cell r="H74">
            <v>68756</v>
          </cell>
          <cell r="O74">
            <v>2000.3739017649511</v>
          </cell>
        </row>
        <row r="75">
          <cell r="C75">
            <v>2009</v>
          </cell>
          <cell r="E75">
            <v>550048</v>
          </cell>
          <cell r="G75">
            <v>1</v>
          </cell>
          <cell r="H75">
            <v>68756</v>
          </cell>
          <cell r="O75">
            <v>2000.3739017649511</v>
          </cell>
        </row>
        <row r="76">
          <cell r="C76">
            <v>2009</v>
          </cell>
          <cell r="E76">
            <v>550048</v>
          </cell>
          <cell r="G76">
            <v>3</v>
          </cell>
          <cell r="H76">
            <v>68756</v>
          </cell>
          <cell r="O76">
            <v>2000.3739017649511</v>
          </cell>
        </row>
        <row r="77">
          <cell r="C77">
            <v>2009</v>
          </cell>
          <cell r="E77">
            <v>550048</v>
          </cell>
          <cell r="G77">
            <v>4</v>
          </cell>
          <cell r="H77">
            <v>68756</v>
          </cell>
          <cell r="O77">
            <v>2000.3739017649511</v>
          </cell>
        </row>
        <row r="78">
          <cell r="C78">
            <v>2009</v>
          </cell>
          <cell r="E78">
            <v>550048</v>
          </cell>
          <cell r="G78">
            <v>6</v>
          </cell>
          <cell r="H78">
            <v>68756</v>
          </cell>
          <cell r="O78">
            <v>2000.3739017649511</v>
          </cell>
        </row>
        <row r="79">
          <cell r="C79">
            <v>2009</v>
          </cell>
          <cell r="E79">
            <v>550048</v>
          </cell>
          <cell r="G79">
            <v>9</v>
          </cell>
          <cell r="H79">
            <v>68756</v>
          </cell>
          <cell r="O79">
            <v>2000.3739017649511</v>
          </cell>
        </row>
        <row r="80">
          <cell r="C80">
            <v>2009</v>
          </cell>
          <cell r="E80">
            <v>550048</v>
          </cell>
          <cell r="G80">
            <v>11</v>
          </cell>
          <cell r="H80">
            <v>68756</v>
          </cell>
          <cell r="O80">
            <v>2000.3739017649511</v>
          </cell>
        </row>
        <row r="81">
          <cell r="C81">
            <v>2009</v>
          </cell>
          <cell r="E81">
            <v>550048</v>
          </cell>
          <cell r="G81">
            <v>14</v>
          </cell>
          <cell r="H81">
            <v>68756</v>
          </cell>
          <cell r="O81">
            <v>2000.3739017649511</v>
          </cell>
        </row>
        <row r="82">
          <cell r="C82">
            <v>2009</v>
          </cell>
          <cell r="E82">
            <v>550048</v>
          </cell>
          <cell r="G82">
            <v>16</v>
          </cell>
          <cell r="H82">
            <v>68756</v>
          </cell>
          <cell r="O82">
            <v>2000.3739017649511</v>
          </cell>
        </row>
        <row r="83">
          <cell r="C83">
            <v>2010</v>
          </cell>
          <cell r="E83">
            <v>550048</v>
          </cell>
          <cell r="G83">
            <v>1</v>
          </cell>
          <cell r="H83">
            <v>68756</v>
          </cell>
          <cell r="O83">
            <v>2000.3739017649511</v>
          </cell>
        </row>
        <row r="84">
          <cell r="C84">
            <v>2010</v>
          </cell>
          <cell r="E84">
            <v>550048</v>
          </cell>
          <cell r="G84">
            <v>3</v>
          </cell>
          <cell r="H84">
            <v>68756</v>
          </cell>
          <cell r="O84">
            <v>2000.3739017649511</v>
          </cell>
        </row>
        <row r="85">
          <cell r="C85">
            <v>2010</v>
          </cell>
          <cell r="E85">
            <v>550048</v>
          </cell>
          <cell r="G85">
            <v>6</v>
          </cell>
          <cell r="H85">
            <v>68756</v>
          </cell>
          <cell r="O85">
            <v>2000.3739017649511</v>
          </cell>
        </row>
        <row r="86">
          <cell r="C86">
            <v>2010</v>
          </cell>
          <cell r="E86">
            <v>550048</v>
          </cell>
          <cell r="G86">
            <v>8</v>
          </cell>
          <cell r="H86">
            <v>68756</v>
          </cell>
          <cell r="O86">
            <v>2000.3739017649511</v>
          </cell>
        </row>
        <row r="87">
          <cell r="C87">
            <v>2010</v>
          </cell>
          <cell r="E87">
            <v>550048</v>
          </cell>
          <cell r="G87">
            <v>11</v>
          </cell>
          <cell r="H87">
            <v>68756</v>
          </cell>
          <cell r="O87">
            <v>2000.3739017649511</v>
          </cell>
        </row>
        <row r="88">
          <cell r="C88">
            <v>2010</v>
          </cell>
          <cell r="E88">
            <v>550048</v>
          </cell>
          <cell r="G88">
            <v>13</v>
          </cell>
          <cell r="H88">
            <v>68756</v>
          </cell>
          <cell r="O88">
            <v>2000.3739017649511</v>
          </cell>
        </row>
        <row r="89">
          <cell r="C89">
            <v>2010</v>
          </cell>
          <cell r="E89">
            <v>550048</v>
          </cell>
          <cell r="G89">
            <v>15</v>
          </cell>
          <cell r="H89">
            <v>68756</v>
          </cell>
          <cell r="O89">
            <v>2000.3739017649511</v>
          </cell>
        </row>
        <row r="90">
          <cell r="C90">
            <v>2010</v>
          </cell>
          <cell r="E90">
            <v>550048</v>
          </cell>
          <cell r="G90">
            <v>17</v>
          </cell>
          <cell r="H90">
            <v>68756</v>
          </cell>
          <cell r="O90">
            <v>2005.835298317041</v>
          </cell>
        </row>
        <row r="91">
          <cell r="O91">
            <v>2005.835298317041</v>
          </cell>
        </row>
        <row r="92">
          <cell r="O92">
            <v>2005.835298317041</v>
          </cell>
        </row>
        <row r="93">
          <cell r="O93">
            <v>2005.835298317041</v>
          </cell>
        </row>
        <row r="94">
          <cell r="O94">
            <v>2005.835298317041</v>
          </cell>
        </row>
        <row r="95">
          <cell r="O95">
            <v>2005.835298317041</v>
          </cell>
        </row>
        <row r="96">
          <cell r="O96">
            <v>2005.835298317041</v>
          </cell>
        </row>
        <row r="97">
          <cell r="O97">
            <v>2005.835298317041</v>
          </cell>
        </row>
        <row r="98">
          <cell r="O98">
            <v>2005.835298317041</v>
          </cell>
        </row>
        <row r="99">
          <cell r="O99">
            <v>2005.835298317041</v>
          </cell>
        </row>
        <row r="100">
          <cell r="O100">
            <v>2005.835298317041</v>
          </cell>
        </row>
        <row r="101">
          <cell r="O101">
            <v>2005.835298317041</v>
          </cell>
        </row>
        <row r="102">
          <cell r="O102">
            <v>2005.835298317041</v>
          </cell>
        </row>
        <row r="103">
          <cell r="O103">
            <v>2005.835298317041</v>
          </cell>
        </row>
        <row r="104">
          <cell r="O104">
            <v>2005.835298317041</v>
          </cell>
        </row>
        <row r="105">
          <cell r="O105">
            <v>2005.835298317041</v>
          </cell>
        </row>
        <row r="106">
          <cell r="O106">
            <v>2005.835298317041</v>
          </cell>
        </row>
        <row r="107">
          <cell r="O107">
            <v>2005.835298317041</v>
          </cell>
        </row>
        <row r="108">
          <cell r="O108">
            <v>2005.835298317041</v>
          </cell>
        </row>
        <row r="109">
          <cell r="O109">
            <v>2005.835298317041</v>
          </cell>
        </row>
        <row r="110">
          <cell r="O110">
            <v>2005.835298317041</v>
          </cell>
        </row>
        <row r="111">
          <cell r="O111">
            <v>2005.835298317041</v>
          </cell>
        </row>
        <row r="112">
          <cell r="O112">
            <v>2005.835298317041</v>
          </cell>
        </row>
        <row r="113">
          <cell r="O113">
            <v>2005.835298317041</v>
          </cell>
        </row>
        <row r="114">
          <cell r="O114">
            <v>2005.835298317041</v>
          </cell>
        </row>
        <row r="115">
          <cell r="O115">
            <v>2005.835298317041</v>
          </cell>
        </row>
        <row r="116">
          <cell r="O116">
            <v>2005.835298317041</v>
          </cell>
        </row>
        <row r="117">
          <cell r="O117">
            <v>2005.835298317041</v>
          </cell>
        </row>
        <row r="118">
          <cell r="O118">
            <v>2005.835298317041</v>
          </cell>
        </row>
        <row r="119">
          <cell r="O119">
            <v>2005.835298317041</v>
          </cell>
        </row>
        <row r="120">
          <cell r="O120">
            <v>2005.835298317041</v>
          </cell>
        </row>
        <row r="121">
          <cell r="O121">
            <v>2005.835298317041</v>
          </cell>
        </row>
        <row r="122">
          <cell r="O122">
            <v>2005.835298317041</v>
          </cell>
        </row>
        <row r="123">
          <cell r="O123">
            <v>2005.835298317041</v>
          </cell>
        </row>
        <row r="124">
          <cell r="O124">
            <v>2006.0498915017988</v>
          </cell>
        </row>
        <row r="125">
          <cell r="O125">
            <v>2006.0498915017988</v>
          </cell>
        </row>
        <row r="126">
          <cell r="O126">
            <v>2006.0498915017988</v>
          </cell>
        </row>
        <row r="127">
          <cell r="O127">
            <v>2006.0498915017988</v>
          </cell>
        </row>
        <row r="128">
          <cell r="O128">
            <v>2006.0498915017988</v>
          </cell>
        </row>
        <row r="129">
          <cell r="O129">
            <v>2006.0498915017988</v>
          </cell>
        </row>
        <row r="130">
          <cell r="O130">
            <v>2006.0498915017988</v>
          </cell>
        </row>
        <row r="131">
          <cell r="O131">
            <v>2006.0498915017988</v>
          </cell>
        </row>
        <row r="132">
          <cell r="O132">
            <v>2006.0498915017988</v>
          </cell>
        </row>
        <row r="133">
          <cell r="O133">
            <v>2006.0498915017988</v>
          </cell>
        </row>
        <row r="134">
          <cell r="O134">
            <v>2006.0498915017988</v>
          </cell>
        </row>
        <row r="135">
          <cell r="O135">
            <v>2006.0498915017988</v>
          </cell>
        </row>
        <row r="136">
          <cell r="O136">
            <v>2006.0498915017988</v>
          </cell>
        </row>
        <row r="137">
          <cell r="O137">
            <v>2006.0498915017988</v>
          </cell>
        </row>
        <row r="138">
          <cell r="O138">
            <v>2006.0498915017988</v>
          </cell>
        </row>
        <row r="139">
          <cell r="O139">
            <v>2006.0498915017988</v>
          </cell>
        </row>
        <row r="140">
          <cell r="O140">
            <v>2006.0498915017988</v>
          </cell>
        </row>
        <row r="141">
          <cell r="O141">
            <v>2006.0498915017988</v>
          </cell>
        </row>
        <row r="142">
          <cell r="O142">
            <v>2006.0498915017988</v>
          </cell>
        </row>
        <row r="143">
          <cell r="O143">
            <v>2006.0498915017988</v>
          </cell>
        </row>
        <row r="144">
          <cell r="O144">
            <v>2006.0498915017988</v>
          </cell>
        </row>
        <row r="145">
          <cell r="O145">
            <v>2006.0498915017988</v>
          </cell>
        </row>
        <row r="146">
          <cell r="O146">
            <v>2006.0498915017988</v>
          </cell>
        </row>
        <row r="147">
          <cell r="O147">
            <v>2006.0498915017988</v>
          </cell>
        </row>
        <row r="148">
          <cell r="O148">
            <v>2006.0498915017988</v>
          </cell>
        </row>
        <row r="149">
          <cell r="O149">
            <v>2006.0498915017988</v>
          </cell>
        </row>
        <row r="150">
          <cell r="O150">
            <v>2006.0498915017988</v>
          </cell>
        </row>
        <row r="151">
          <cell r="O151">
            <v>2006.0498915017988</v>
          </cell>
        </row>
        <row r="152">
          <cell r="O152">
            <v>2006.0498915017988</v>
          </cell>
        </row>
        <row r="153">
          <cell r="O153">
            <v>2006.0498915017988</v>
          </cell>
        </row>
        <row r="154">
          <cell r="O154">
            <v>2006.0498915017988</v>
          </cell>
        </row>
        <row r="155">
          <cell r="O155">
            <v>2006.0498915017988</v>
          </cell>
        </row>
        <row r="156">
          <cell r="O156">
            <v>2006.0498915017988</v>
          </cell>
        </row>
        <row r="157">
          <cell r="O157">
            <v>2006.0498915017988</v>
          </cell>
        </row>
        <row r="158">
          <cell r="O158">
            <v>2006.0498915017988</v>
          </cell>
        </row>
        <row r="159">
          <cell r="O159">
            <v>2006.0498915017988</v>
          </cell>
        </row>
        <row r="160">
          <cell r="O160">
            <v>2006.0498915017988</v>
          </cell>
        </row>
        <row r="161">
          <cell r="O161">
            <v>2006.0498915017988</v>
          </cell>
        </row>
        <row r="162">
          <cell r="O162">
            <v>2006.0498915017988</v>
          </cell>
        </row>
        <row r="163">
          <cell r="O163">
            <v>2006.0498915017988</v>
          </cell>
        </row>
        <row r="164">
          <cell r="O164">
            <v>2006.0498915017988</v>
          </cell>
        </row>
        <row r="165">
          <cell r="O165">
            <v>2006.0498915017988</v>
          </cell>
        </row>
        <row r="166">
          <cell r="O166">
            <v>2006.0498915017988</v>
          </cell>
        </row>
        <row r="167">
          <cell r="O167">
            <v>2006.0498915017988</v>
          </cell>
        </row>
        <row r="168">
          <cell r="O168">
            <v>2006.0498915017988</v>
          </cell>
        </row>
        <row r="169">
          <cell r="O169">
            <v>2006.0498915017988</v>
          </cell>
        </row>
        <row r="170">
          <cell r="O170">
            <v>2006.0498915017988</v>
          </cell>
        </row>
        <row r="171">
          <cell r="O171">
            <v>2006.0498915017988</v>
          </cell>
        </row>
        <row r="172">
          <cell r="O172">
            <v>2006.0498915017988</v>
          </cell>
        </row>
        <row r="173">
          <cell r="O173">
            <v>2006.0498915017988</v>
          </cell>
        </row>
        <row r="174">
          <cell r="O174">
            <v>2006.0498915017988</v>
          </cell>
        </row>
        <row r="175">
          <cell r="O175">
            <v>2006.0498915017988</v>
          </cell>
        </row>
        <row r="176">
          <cell r="O176">
            <v>2006.0498915017988</v>
          </cell>
        </row>
        <row r="177">
          <cell r="O177">
            <v>2006.0498915017988</v>
          </cell>
        </row>
        <row r="178">
          <cell r="O178">
            <v>2006.0498915017988</v>
          </cell>
        </row>
        <row r="179">
          <cell r="O179">
            <v>2006.0498915017988</v>
          </cell>
        </row>
        <row r="180">
          <cell r="O180">
            <v>2006.0498915017988</v>
          </cell>
        </row>
        <row r="181">
          <cell r="O181">
            <v>2006.0498915017988</v>
          </cell>
        </row>
        <row r="182">
          <cell r="O182">
            <v>2006.0498915017988</v>
          </cell>
        </row>
        <row r="183">
          <cell r="O183">
            <v>2006.0498915017988</v>
          </cell>
        </row>
        <row r="184">
          <cell r="O184">
            <v>2006.0498915017988</v>
          </cell>
        </row>
        <row r="185">
          <cell r="O185">
            <v>2006.0498915017988</v>
          </cell>
        </row>
        <row r="186">
          <cell r="O186">
            <v>2006.0498915017988</v>
          </cell>
        </row>
        <row r="187">
          <cell r="O187">
            <v>2006.0498915017988</v>
          </cell>
        </row>
        <row r="188">
          <cell r="O188">
            <v>2006.0498915017988</v>
          </cell>
        </row>
        <row r="189">
          <cell r="O189">
            <v>2006.0498915017988</v>
          </cell>
        </row>
        <row r="190">
          <cell r="O190">
            <v>2006.0498915017988</v>
          </cell>
        </row>
        <row r="191">
          <cell r="O191">
            <v>2006.0498915017988</v>
          </cell>
        </row>
        <row r="192">
          <cell r="O192">
            <v>2006.0498915017988</v>
          </cell>
        </row>
        <row r="193">
          <cell r="O193">
            <v>2006.0498915017988</v>
          </cell>
        </row>
        <row r="194">
          <cell r="O194">
            <v>2006.0498915017988</v>
          </cell>
        </row>
        <row r="195">
          <cell r="O195">
            <v>2006.0498915017988</v>
          </cell>
        </row>
        <row r="196">
          <cell r="O196">
            <v>2006.0498915017988</v>
          </cell>
        </row>
        <row r="197">
          <cell r="O197">
            <v>2006.0498915017988</v>
          </cell>
        </row>
        <row r="198">
          <cell r="O198">
            <v>2006.0498915017988</v>
          </cell>
        </row>
        <row r="199">
          <cell r="O199">
            <v>2006.0498915017988</v>
          </cell>
        </row>
        <row r="200">
          <cell r="O200">
            <v>2006.0498915017988</v>
          </cell>
        </row>
        <row r="201">
          <cell r="O201">
            <v>2006.0498915017988</v>
          </cell>
        </row>
        <row r="202">
          <cell r="O202">
            <v>2006.0498915017988</v>
          </cell>
        </row>
        <row r="203">
          <cell r="O203">
            <v>2006.0498915017988</v>
          </cell>
        </row>
        <row r="204">
          <cell r="O204">
            <v>2006.0498915017988</v>
          </cell>
        </row>
        <row r="205">
          <cell r="O205">
            <v>2006.0498915017988</v>
          </cell>
        </row>
        <row r="206">
          <cell r="O206">
            <v>2006.0498915017988</v>
          </cell>
        </row>
        <row r="207">
          <cell r="O207">
            <v>2006.0498915017988</v>
          </cell>
        </row>
        <row r="208">
          <cell r="O208">
            <v>2006.0498915017988</v>
          </cell>
        </row>
        <row r="209">
          <cell r="O209">
            <v>2006.0498915017988</v>
          </cell>
        </row>
        <row r="210">
          <cell r="O210">
            <v>2006.0498915017988</v>
          </cell>
        </row>
        <row r="211">
          <cell r="O211">
            <v>2006.0498915017988</v>
          </cell>
        </row>
        <row r="212">
          <cell r="O212">
            <v>2006.0498915017988</v>
          </cell>
        </row>
        <row r="213">
          <cell r="O213">
            <v>2006.0498915017988</v>
          </cell>
        </row>
        <row r="214">
          <cell r="O214">
            <v>2006.0498915017988</v>
          </cell>
        </row>
        <row r="215">
          <cell r="O215">
            <v>2006.0498915017988</v>
          </cell>
        </row>
        <row r="216">
          <cell r="O216">
            <v>2006.0498915017988</v>
          </cell>
        </row>
        <row r="217">
          <cell r="O217">
            <v>2006.0498915017988</v>
          </cell>
        </row>
        <row r="218">
          <cell r="O218">
            <v>2006.0498915017988</v>
          </cell>
        </row>
        <row r="219">
          <cell r="O219">
            <v>2006.0498915017988</v>
          </cell>
        </row>
        <row r="220">
          <cell r="O220">
            <v>2006.0498915017988</v>
          </cell>
        </row>
        <row r="221">
          <cell r="O221">
            <v>2006.0498915017988</v>
          </cell>
        </row>
        <row r="222">
          <cell r="O222">
            <v>2006.0498915017988</v>
          </cell>
        </row>
        <row r="223">
          <cell r="O223">
            <v>2006.0498915017988</v>
          </cell>
        </row>
        <row r="224">
          <cell r="O224">
            <v>2006.0498915017988</v>
          </cell>
        </row>
        <row r="225">
          <cell r="O225">
            <v>2006.0498915017988</v>
          </cell>
        </row>
        <row r="226">
          <cell r="O226">
            <v>2006.0498915017988</v>
          </cell>
        </row>
        <row r="227">
          <cell r="O227">
            <v>2006.0498915017988</v>
          </cell>
        </row>
        <row r="228">
          <cell r="O228">
            <v>2006.0498915017988</v>
          </cell>
        </row>
        <row r="229">
          <cell r="O229">
            <v>2006.0498915017988</v>
          </cell>
        </row>
        <row r="230">
          <cell r="O230">
            <v>2006.0498915017988</v>
          </cell>
        </row>
        <row r="231">
          <cell r="O231">
            <v>2006.0498915017988</v>
          </cell>
        </row>
        <row r="232">
          <cell r="O232">
            <v>2006.0498915017988</v>
          </cell>
        </row>
        <row r="233">
          <cell r="O233">
            <v>2006.0498915017988</v>
          </cell>
        </row>
        <row r="234">
          <cell r="O234">
            <v>2006.0498915017988</v>
          </cell>
        </row>
        <row r="235">
          <cell r="O235">
            <v>2006.0498915017988</v>
          </cell>
        </row>
        <row r="236">
          <cell r="O236">
            <v>2006.0498915017988</v>
          </cell>
        </row>
        <row r="237">
          <cell r="O237">
            <v>2006.0498915017988</v>
          </cell>
        </row>
        <row r="238">
          <cell r="O238">
            <v>2006.0498915017988</v>
          </cell>
        </row>
        <row r="239">
          <cell r="O239">
            <v>2006.0498915017988</v>
          </cell>
        </row>
        <row r="240">
          <cell r="O240">
            <v>2006.0498915017988</v>
          </cell>
        </row>
        <row r="241">
          <cell r="O241">
            <v>2006.0498915017988</v>
          </cell>
        </row>
      </sheetData>
      <sheetData sheetId="3">
        <row r="1">
          <cell r="E1" t="str">
            <v>home</v>
          </cell>
          <cell r="H1" t="str">
            <v>weekly_attendance</v>
          </cell>
        </row>
        <row r="2">
          <cell r="C2">
            <v>2000</v>
          </cell>
          <cell r="E2">
            <v>607076</v>
          </cell>
          <cell r="G2">
            <v>2</v>
          </cell>
          <cell r="H2">
            <v>74159</v>
          </cell>
        </row>
        <row r="3">
          <cell r="C3">
            <v>2000</v>
          </cell>
          <cell r="E3">
            <v>607076</v>
          </cell>
          <cell r="G3">
            <v>3</v>
          </cell>
          <cell r="H3">
            <v>76928</v>
          </cell>
        </row>
        <row r="4">
          <cell r="C4">
            <v>2000</v>
          </cell>
          <cell r="E4">
            <v>607076</v>
          </cell>
          <cell r="G4">
            <v>5</v>
          </cell>
          <cell r="H4">
            <v>76438</v>
          </cell>
        </row>
        <row r="5">
          <cell r="C5">
            <v>2000</v>
          </cell>
          <cell r="E5">
            <v>607076</v>
          </cell>
          <cell r="G5">
            <v>6</v>
          </cell>
          <cell r="H5">
            <v>77549</v>
          </cell>
        </row>
        <row r="6">
          <cell r="C6">
            <v>2000</v>
          </cell>
          <cell r="E6">
            <v>607076</v>
          </cell>
          <cell r="G6">
            <v>10</v>
          </cell>
          <cell r="H6">
            <v>77813</v>
          </cell>
        </row>
        <row r="7">
          <cell r="C7">
            <v>2000</v>
          </cell>
          <cell r="E7">
            <v>607076</v>
          </cell>
          <cell r="G7">
            <v>11</v>
          </cell>
          <cell r="H7">
            <v>74309</v>
          </cell>
        </row>
        <row r="8">
          <cell r="C8">
            <v>2000</v>
          </cell>
          <cell r="E8">
            <v>607076</v>
          </cell>
          <cell r="G8">
            <v>13</v>
          </cell>
          <cell r="H8">
            <v>77923</v>
          </cell>
        </row>
        <row r="9">
          <cell r="C9">
            <v>2000</v>
          </cell>
          <cell r="E9">
            <v>607076</v>
          </cell>
          <cell r="G9">
            <v>17</v>
          </cell>
          <cell r="H9">
            <v>71957</v>
          </cell>
        </row>
        <row r="10">
          <cell r="C10">
            <v>2001</v>
          </cell>
          <cell r="E10">
            <v>601815</v>
          </cell>
          <cell r="G10">
            <v>4</v>
          </cell>
          <cell r="H10">
            <v>77765</v>
          </cell>
        </row>
        <row r="11">
          <cell r="C11">
            <v>2001</v>
          </cell>
          <cell r="E11">
            <v>601815</v>
          </cell>
          <cell r="G11">
            <v>6</v>
          </cell>
          <cell r="H11">
            <v>76940</v>
          </cell>
        </row>
        <row r="12">
          <cell r="C12">
            <v>2001</v>
          </cell>
          <cell r="E12">
            <v>601815</v>
          </cell>
          <cell r="G12">
            <v>7</v>
          </cell>
          <cell r="H12">
            <v>69343</v>
          </cell>
        </row>
        <row r="13">
          <cell r="C13">
            <v>2001</v>
          </cell>
          <cell r="E13">
            <v>601815</v>
          </cell>
          <cell r="G13">
            <v>9</v>
          </cell>
          <cell r="H13">
            <v>74268</v>
          </cell>
        </row>
        <row r="14">
          <cell r="C14">
            <v>2001</v>
          </cell>
          <cell r="E14">
            <v>601815</v>
          </cell>
          <cell r="G14">
            <v>11</v>
          </cell>
          <cell r="H14">
            <v>77730</v>
          </cell>
        </row>
        <row r="15">
          <cell r="C15">
            <v>2001</v>
          </cell>
          <cell r="E15">
            <v>601815</v>
          </cell>
          <cell r="G15">
            <v>14</v>
          </cell>
          <cell r="H15">
            <v>72190</v>
          </cell>
        </row>
        <row r="16">
          <cell r="C16">
            <v>2001</v>
          </cell>
          <cell r="E16">
            <v>601815</v>
          </cell>
          <cell r="G16">
            <v>16</v>
          </cell>
          <cell r="H16">
            <v>76067</v>
          </cell>
        </row>
        <row r="17">
          <cell r="C17">
            <v>2001</v>
          </cell>
          <cell r="E17">
            <v>601815</v>
          </cell>
          <cell r="G17">
            <v>17</v>
          </cell>
          <cell r="H17">
            <v>77512</v>
          </cell>
        </row>
        <row r="18">
          <cell r="C18">
            <v>2002</v>
          </cell>
          <cell r="E18">
            <v>489742</v>
          </cell>
          <cell r="G18">
            <v>3</v>
          </cell>
          <cell r="H18">
            <v>61505</v>
          </cell>
        </row>
        <row r="19">
          <cell r="C19">
            <v>2002</v>
          </cell>
          <cell r="E19">
            <v>489742</v>
          </cell>
          <cell r="G19">
            <v>4</v>
          </cell>
          <cell r="H19">
            <v>60023</v>
          </cell>
        </row>
        <row r="20">
          <cell r="C20">
            <v>2002</v>
          </cell>
          <cell r="E20">
            <v>489742</v>
          </cell>
          <cell r="G20">
            <v>7</v>
          </cell>
          <cell r="H20">
            <v>60421</v>
          </cell>
        </row>
        <row r="21">
          <cell r="C21">
            <v>2002</v>
          </cell>
          <cell r="E21">
            <v>489742</v>
          </cell>
          <cell r="G21">
            <v>9</v>
          </cell>
          <cell r="H21">
            <v>61789</v>
          </cell>
        </row>
        <row r="22">
          <cell r="C22">
            <v>2002</v>
          </cell>
          <cell r="E22">
            <v>489742</v>
          </cell>
          <cell r="G22">
            <v>11</v>
          </cell>
          <cell r="H22">
            <v>61720</v>
          </cell>
        </row>
        <row r="23">
          <cell r="C23">
            <v>2002</v>
          </cell>
          <cell r="E23">
            <v>489742</v>
          </cell>
          <cell r="G23">
            <v>13</v>
          </cell>
          <cell r="H23">
            <v>62109</v>
          </cell>
        </row>
        <row r="24">
          <cell r="C24">
            <v>2002</v>
          </cell>
          <cell r="E24">
            <v>489742</v>
          </cell>
          <cell r="G24">
            <v>15</v>
          </cell>
          <cell r="H24">
            <v>61942</v>
          </cell>
        </row>
        <row r="25">
          <cell r="C25">
            <v>2002</v>
          </cell>
          <cell r="E25">
            <v>489742</v>
          </cell>
          <cell r="G25">
            <v>17</v>
          </cell>
          <cell r="H25">
            <v>60233</v>
          </cell>
        </row>
        <row r="26">
          <cell r="C26">
            <v>2003</v>
          </cell>
          <cell r="E26">
            <v>490442</v>
          </cell>
          <cell r="G26">
            <v>1</v>
          </cell>
          <cell r="H26">
            <v>60691</v>
          </cell>
        </row>
        <row r="27">
          <cell r="C27">
            <v>2003</v>
          </cell>
          <cell r="E27">
            <v>490442</v>
          </cell>
          <cell r="G27">
            <v>3</v>
          </cell>
          <cell r="H27">
            <v>60865</v>
          </cell>
        </row>
        <row r="28">
          <cell r="C28">
            <v>2003</v>
          </cell>
          <cell r="E28">
            <v>490442</v>
          </cell>
          <cell r="G28">
            <v>7</v>
          </cell>
          <cell r="H28">
            <v>61160</v>
          </cell>
        </row>
        <row r="29">
          <cell r="C29">
            <v>2003</v>
          </cell>
          <cell r="E29">
            <v>490442</v>
          </cell>
          <cell r="G29">
            <v>9</v>
          </cell>
          <cell r="H29">
            <v>61561</v>
          </cell>
        </row>
        <row r="30">
          <cell r="C30">
            <v>2003</v>
          </cell>
          <cell r="E30">
            <v>490442</v>
          </cell>
          <cell r="G30">
            <v>10</v>
          </cell>
          <cell r="H30">
            <v>61492</v>
          </cell>
        </row>
        <row r="31">
          <cell r="C31">
            <v>2003</v>
          </cell>
          <cell r="E31">
            <v>490442</v>
          </cell>
          <cell r="G31">
            <v>13</v>
          </cell>
          <cell r="H31">
            <v>62123</v>
          </cell>
        </row>
        <row r="32">
          <cell r="C32">
            <v>2003</v>
          </cell>
          <cell r="E32">
            <v>490442</v>
          </cell>
          <cell r="G32">
            <v>14</v>
          </cell>
          <cell r="H32">
            <v>61544</v>
          </cell>
        </row>
        <row r="33">
          <cell r="C33">
            <v>2003</v>
          </cell>
          <cell r="E33">
            <v>490442</v>
          </cell>
          <cell r="G33">
            <v>17</v>
          </cell>
          <cell r="H33">
            <v>61006</v>
          </cell>
        </row>
        <row r="34">
          <cell r="C34">
            <v>2004</v>
          </cell>
          <cell r="E34">
            <v>499162</v>
          </cell>
          <cell r="G34">
            <v>2</v>
          </cell>
          <cell r="H34">
            <v>61465</v>
          </cell>
        </row>
        <row r="35">
          <cell r="C35">
            <v>2004</v>
          </cell>
          <cell r="E35">
            <v>499162</v>
          </cell>
          <cell r="G35">
            <v>3</v>
          </cell>
          <cell r="H35">
            <v>62472</v>
          </cell>
        </row>
        <row r="36">
          <cell r="C36">
            <v>2004</v>
          </cell>
          <cell r="E36">
            <v>499162</v>
          </cell>
          <cell r="G36">
            <v>6</v>
          </cell>
          <cell r="H36">
            <v>62938</v>
          </cell>
        </row>
        <row r="37">
          <cell r="C37">
            <v>2004</v>
          </cell>
          <cell r="E37">
            <v>499162</v>
          </cell>
          <cell r="G37">
            <v>9</v>
          </cell>
          <cell r="H37">
            <v>62657</v>
          </cell>
        </row>
        <row r="38">
          <cell r="C38">
            <v>2004</v>
          </cell>
          <cell r="E38">
            <v>499162</v>
          </cell>
          <cell r="G38">
            <v>12</v>
          </cell>
          <cell r="H38">
            <v>63107</v>
          </cell>
        </row>
        <row r="39">
          <cell r="C39">
            <v>2004</v>
          </cell>
          <cell r="E39">
            <v>499162</v>
          </cell>
          <cell r="G39">
            <v>13</v>
          </cell>
          <cell r="H39">
            <v>62262</v>
          </cell>
        </row>
        <row r="40">
          <cell r="C40">
            <v>2004</v>
          </cell>
          <cell r="E40">
            <v>499162</v>
          </cell>
          <cell r="G40">
            <v>15</v>
          </cell>
          <cell r="H40">
            <v>62337</v>
          </cell>
        </row>
        <row r="41">
          <cell r="C41">
            <v>2004</v>
          </cell>
          <cell r="E41">
            <v>499162</v>
          </cell>
          <cell r="G41">
            <v>16</v>
          </cell>
          <cell r="H41">
            <v>61924</v>
          </cell>
        </row>
        <row r="42">
          <cell r="C42">
            <v>2005</v>
          </cell>
          <cell r="E42">
            <v>492580</v>
          </cell>
          <cell r="G42">
            <v>1</v>
          </cell>
          <cell r="H42">
            <v>61877</v>
          </cell>
        </row>
        <row r="43">
          <cell r="C43">
            <v>2005</v>
          </cell>
          <cell r="E43">
            <v>492580</v>
          </cell>
          <cell r="G43">
            <v>5</v>
          </cell>
          <cell r="H43">
            <v>61201</v>
          </cell>
        </row>
        <row r="44">
          <cell r="C44">
            <v>2005</v>
          </cell>
          <cell r="E44">
            <v>492580</v>
          </cell>
          <cell r="G44">
            <v>6</v>
          </cell>
          <cell r="H44">
            <v>61083</v>
          </cell>
        </row>
        <row r="45">
          <cell r="C45">
            <v>2005</v>
          </cell>
          <cell r="E45">
            <v>492580</v>
          </cell>
          <cell r="G45">
            <v>8</v>
          </cell>
          <cell r="H45">
            <v>61814</v>
          </cell>
        </row>
        <row r="46">
          <cell r="C46">
            <v>2005</v>
          </cell>
          <cell r="E46">
            <v>492580</v>
          </cell>
          <cell r="G46">
            <v>10</v>
          </cell>
          <cell r="H46">
            <v>61091</v>
          </cell>
        </row>
        <row r="47">
          <cell r="C47">
            <v>2005</v>
          </cell>
          <cell r="E47">
            <v>492580</v>
          </cell>
          <cell r="G47">
            <v>12</v>
          </cell>
          <cell r="H47">
            <v>62390</v>
          </cell>
        </row>
        <row r="48">
          <cell r="C48">
            <v>2005</v>
          </cell>
          <cell r="E48">
            <v>492580</v>
          </cell>
          <cell r="G48">
            <v>13</v>
          </cell>
          <cell r="H48">
            <v>61375</v>
          </cell>
        </row>
        <row r="49">
          <cell r="C49">
            <v>2005</v>
          </cell>
          <cell r="E49">
            <v>492580</v>
          </cell>
          <cell r="G49">
            <v>15</v>
          </cell>
          <cell r="H49">
            <v>61749</v>
          </cell>
        </row>
        <row r="50">
          <cell r="C50">
            <v>2006</v>
          </cell>
          <cell r="E50">
            <v>487116</v>
          </cell>
          <cell r="G50">
            <v>1</v>
          </cell>
          <cell r="H50">
            <v>60535</v>
          </cell>
        </row>
        <row r="51">
          <cell r="C51">
            <v>2006</v>
          </cell>
          <cell r="E51">
            <v>487116</v>
          </cell>
          <cell r="G51">
            <v>3</v>
          </cell>
          <cell r="H51">
            <v>61095</v>
          </cell>
        </row>
        <row r="52">
          <cell r="C52">
            <v>2006</v>
          </cell>
          <cell r="E52">
            <v>487116</v>
          </cell>
          <cell r="G52">
            <v>6</v>
          </cell>
          <cell r="H52">
            <v>60704</v>
          </cell>
        </row>
        <row r="53">
          <cell r="C53">
            <v>2006</v>
          </cell>
          <cell r="E53">
            <v>487116</v>
          </cell>
          <cell r="G53">
            <v>9</v>
          </cell>
          <cell r="H53">
            <v>60987</v>
          </cell>
        </row>
        <row r="54">
          <cell r="C54">
            <v>2006</v>
          </cell>
          <cell r="E54">
            <v>487116</v>
          </cell>
          <cell r="G54">
            <v>10</v>
          </cell>
          <cell r="H54">
            <v>60707</v>
          </cell>
        </row>
        <row r="55">
          <cell r="C55">
            <v>2006</v>
          </cell>
          <cell r="E55">
            <v>487116</v>
          </cell>
          <cell r="G55">
            <v>12</v>
          </cell>
          <cell r="H55">
            <v>61562</v>
          </cell>
        </row>
        <row r="56">
          <cell r="C56">
            <v>2006</v>
          </cell>
          <cell r="E56">
            <v>487116</v>
          </cell>
          <cell r="G56">
            <v>14</v>
          </cell>
          <cell r="H56">
            <v>60861</v>
          </cell>
          <cell r="O56">
            <v>1999.9326366092055</v>
          </cell>
        </row>
        <row r="57">
          <cell r="C57">
            <v>2006</v>
          </cell>
          <cell r="E57">
            <v>487116</v>
          </cell>
          <cell r="G57">
            <v>16</v>
          </cell>
          <cell r="H57">
            <v>60665</v>
          </cell>
          <cell r="O57">
            <v>1999.9326366092055</v>
          </cell>
        </row>
        <row r="58">
          <cell r="C58">
            <v>2007</v>
          </cell>
          <cell r="E58">
            <v>490436</v>
          </cell>
          <cell r="G58">
            <v>2</v>
          </cell>
          <cell r="H58">
            <v>61771</v>
          </cell>
          <cell r="O58">
            <v>1999.9326366092055</v>
          </cell>
        </row>
        <row r="59">
          <cell r="C59">
            <v>2007</v>
          </cell>
          <cell r="E59">
            <v>490436</v>
          </cell>
          <cell r="G59">
            <v>4</v>
          </cell>
          <cell r="H59">
            <v>60811</v>
          </cell>
          <cell r="O59">
            <v>1999.9326366092055</v>
          </cell>
        </row>
        <row r="60">
          <cell r="C60">
            <v>2007</v>
          </cell>
          <cell r="E60">
            <v>490436</v>
          </cell>
          <cell r="G60">
            <v>7</v>
          </cell>
          <cell r="H60">
            <v>60442</v>
          </cell>
          <cell r="O60">
            <v>1999.9326366092055</v>
          </cell>
        </row>
        <row r="61">
          <cell r="C61">
            <v>2007</v>
          </cell>
          <cell r="E61">
            <v>490436</v>
          </cell>
          <cell r="G61">
            <v>9</v>
          </cell>
          <cell r="H61">
            <v>60783</v>
          </cell>
          <cell r="O61">
            <v>1999.9326366092055</v>
          </cell>
        </row>
        <row r="62">
          <cell r="C62">
            <v>2007</v>
          </cell>
          <cell r="E62">
            <v>490436</v>
          </cell>
          <cell r="G62">
            <v>11</v>
          </cell>
          <cell r="H62">
            <v>60675</v>
          </cell>
          <cell r="O62">
            <v>1999.9326366092055</v>
          </cell>
        </row>
        <row r="63">
          <cell r="C63">
            <v>2007</v>
          </cell>
          <cell r="E63">
            <v>490436</v>
          </cell>
          <cell r="G63">
            <v>12</v>
          </cell>
          <cell r="H63">
            <v>63257</v>
          </cell>
          <cell r="O63">
            <v>1999.9326366092055</v>
          </cell>
        </row>
        <row r="64">
          <cell r="C64">
            <v>2007</v>
          </cell>
          <cell r="E64">
            <v>490436</v>
          </cell>
          <cell r="G64">
            <v>14</v>
          </cell>
          <cell r="H64">
            <v>62759</v>
          </cell>
          <cell r="O64">
            <v>1999.9326366092055</v>
          </cell>
        </row>
        <row r="65">
          <cell r="C65">
            <v>2007</v>
          </cell>
          <cell r="E65">
            <v>490436</v>
          </cell>
          <cell r="G65">
            <v>16</v>
          </cell>
          <cell r="H65">
            <v>59938</v>
          </cell>
          <cell r="O65">
            <v>1999.9326366092055</v>
          </cell>
        </row>
        <row r="66">
          <cell r="C66">
            <v>2008</v>
          </cell>
          <cell r="E66">
            <v>435979</v>
          </cell>
          <cell r="G66">
            <v>2</v>
          </cell>
          <cell r="H66">
            <v>60285</v>
          </cell>
          <cell r="O66">
            <v>1999.9326366092055</v>
          </cell>
        </row>
        <row r="67">
          <cell r="C67">
            <v>2008</v>
          </cell>
          <cell r="E67">
            <v>435979</v>
          </cell>
          <cell r="G67">
            <v>5</v>
          </cell>
          <cell r="H67">
            <v>59790</v>
          </cell>
          <cell r="O67">
            <v>1999.9326366092055</v>
          </cell>
        </row>
        <row r="68">
          <cell r="C68">
            <v>2008</v>
          </cell>
          <cell r="E68">
            <v>435979</v>
          </cell>
          <cell r="G68">
            <v>8</v>
          </cell>
          <cell r="H68">
            <v>54312</v>
          </cell>
          <cell r="O68">
            <v>1999.9326366092055</v>
          </cell>
        </row>
        <row r="69">
          <cell r="C69">
            <v>2008</v>
          </cell>
          <cell r="E69">
            <v>435979</v>
          </cell>
          <cell r="G69">
            <v>10</v>
          </cell>
          <cell r="H69">
            <v>52631</v>
          </cell>
          <cell r="O69">
            <v>1999.9326366092055</v>
          </cell>
        </row>
        <row r="70">
          <cell r="C70">
            <v>2008</v>
          </cell>
          <cell r="E70">
            <v>435979</v>
          </cell>
          <cell r="G70">
            <v>12</v>
          </cell>
          <cell r="H70">
            <v>49096</v>
          </cell>
          <cell r="O70">
            <v>1999.9326366092055</v>
          </cell>
        </row>
        <row r="71">
          <cell r="C71">
            <v>2008</v>
          </cell>
          <cell r="E71">
            <v>435979</v>
          </cell>
          <cell r="G71">
            <v>13</v>
          </cell>
          <cell r="H71">
            <v>60112</v>
          </cell>
          <cell r="O71">
            <v>1999.9326366092055</v>
          </cell>
        </row>
        <row r="72">
          <cell r="C72">
            <v>2008</v>
          </cell>
          <cell r="E72">
            <v>435979</v>
          </cell>
          <cell r="G72">
            <v>14</v>
          </cell>
          <cell r="H72">
            <v>50444</v>
          </cell>
          <cell r="O72">
            <v>1999.9326366092055</v>
          </cell>
        </row>
        <row r="73">
          <cell r="C73">
            <v>2008</v>
          </cell>
          <cell r="E73">
            <v>435979</v>
          </cell>
          <cell r="G73">
            <v>16</v>
          </cell>
          <cell r="H73">
            <v>49309</v>
          </cell>
          <cell r="O73">
            <v>2000.1687481050826</v>
          </cell>
        </row>
        <row r="74">
          <cell r="C74">
            <v>2009</v>
          </cell>
          <cell r="E74">
            <v>395162</v>
          </cell>
          <cell r="G74">
            <v>2</v>
          </cell>
          <cell r="H74">
            <v>56269</v>
          </cell>
          <cell r="O74">
            <v>2000.1687481050826</v>
          </cell>
        </row>
        <row r="75">
          <cell r="C75">
            <v>2009</v>
          </cell>
          <cell r="E75">
            <v>395162</v>
          </cell>
          <cell r="G75">
            <v>3</v>
          </cell>
          <cell r="H75">
            <v>40896</v>
          </cell>
          <cell r="O75">
            <v>2000.1687481050826</v>
          </cell>
        </row>
        <row r="76">
          <cell r="C76">
            <v>2009</v>
          </cell>
          <cell r="E76">
            <v>395162</v>
          </cell>
          <cell r="G76">
            <v>5</v>
          </cell>
          <cell r="H76">
            <v>59333</v>
          </cell>
          <cell r="O76">
            <v>2000.1687481050826</v>
          </cell>
        </row>
        <row r="77">
          <cell r="C77">
            <v>2009</v>
          </cell>
          <cell r="E77">
            <v>395162</v>
          </cell>
          <cell r="G77">
            <v>8</v>
          </cell>
          <cell r="H77">
            <v>40857</v>
          </cell>
          <cell r="O77">
            <v>2000.1687481050826</v>
          </cell>
        </row>
        <row r="78">
          <cell r="C78">
            <v>2009</v>
          </cell>
          <cell r="E78">
            <v>395162</v>
          </cell>
          <cell r="G78">
            <v>11</v>
          </cell>
          <cell r="H78">
            <v>43170</v>
          </cell>
          <cell r="O78">
            <v>2000.1687481050826</v>
          </cell>
        </row>
        <row r="79">
          <cell r="C79">
            <v>2009</v>
          </cell>
          <cell r="E79">
            <v>395162</v>
          </cell>
          <cell r="G79">
            <v>12</v>
          </cell>
          <cell r="H79">
            <v>57383</v>
          </cell>
          <cell r="O79">
            <v>2000.1687481050826</v>
          </cell>
        </row>
        <row r="80">
          <cell r="C80">
            <v>2009</v>
          </cell>
          <cell r="E80">
            <v>395162</v>
          </cell>
          <cell r="G80">
            <v>15</v>
          </cell>
          <cell r="H80">
            <v>40577</v>
          </cell>
          <cell r="O80">
            <v>2000.1687481050826</v>
          </cell>
        </row>
        <row r="81">
          <cell r="C81">
            <v>2009</v>
          </cell>
          <cell r="E81">
            <v>395162</v>
          </cell>
          <cell r="G81">
            <v>17</v>
          </cell>
          <cell r="H81">
            <v>56677</v>
          </cell>
          <cell r="O81">
            <v>2000.1687481050826</v>
          </cell>
        </row>
        <row r="82">
          <cell r="C82">
            <v>2010</v>
          </cell>
          <cell r="E82">
            <v>450286</v>
          </cell>
          <cell r="G82">
            <v>2</v>
          </cell>
          <cell r="H82">
            <v>56688</v>
          </cell>
          <cell r="O82">
            <v>2000.1687481050826</v>
          </cell>
        </row>
        <row r="83">
          <cell r="C83">
            <v>2010</v>
          </cell>
          <cell r="E83">
            <v>450286</v>
          </cell>
          <cell r="G83">
            <v>5</v>
          </cell>
          <cell r="H83">
            <v>55714</v>
          </cell>
          <cell r="O83">
            <v>2000.1687481050826</v>
          </cell>
        </row>
        <row r="84">
          <cell r="C84">
            <v>2010</v>
          </cell>
          <cell r="E84">
            <v>450286</v>
          </cell>
          <cell r="G84">
            <v>8</v>
          </cell>
          <cell r="H84">
            <v>46329</v>
          </cell>
          <cell r="O84">
            <v>2000.1687481050826</v>
          </cell>
        </row>
        <row r="85">
          <cell r="C85">
            <v>2010</v>
          </cell>
          <cell r="E85">
            <v>450286</v>
          </cell>
          <cell r="G85">
            <v>9</v>
          </cell>
          <cell r="H85">
            <v>57799</v>
          </cell>
          <cell r="O85">
            <v>2000.1687481050826</v>
          </cell>
        </row>
        <row r="86">
          <cell r="C86">
            <v>2010</v>
          </cell>
          <cell r="E86">
            <v>450286</v>
          </cell>
          <cell r="G86">
            <v>12</v>
          </cell>
          <cell r="H86">
            <v>60965</v>
          </cell>
          <cell r="O86">
            <v>2000.1687481050826</v>
          </cell>
        </row>
        <row r="87">
          <cell r="C87">
            <v>2010</v>
          </cell>
          <cell r="E87">
            <v>450286</v>
          </cell>
          <cell r="G87">
            <v>13</v>
          </cell>
          <cell r="H87">
            <v>58119</v>
          </cell>
          <cell r="O87">
            <v>2000.1687481050826</v>
          </cell>
        </row>
        <row r="88">
          <cell r="C88">
            <v>2010</v>
          </cell>
          <cell r="E88">
            <v>450286</v>
          </cell>
          <cell r="G88">
            <v>14</v>
          </cell>
          <cell r="H88">
            <v>57659</v>
          </cell>
          <cell r="O88">
            <v>2000.1687481050826</v>
          </cell>
        </row>
        <row r="89">
          <cell r="C89">
            <v>2010</v>
          </cell>
          <cell r="E89">
            <v>450286</v>
          </cell>
          <cell r="G89">
            <v>17</v>
          </cell>
          <cell r="H89">
            <v>57013</v>
          </cell>
          <cell r="O89">
            <v>2000.1687481050826</v>
          </cell>
        </row>
        <row r="90">
          <cell r="O90">
            <v>2005.1985378175775</v>
          </cell>
        </row>
        <row r="91">
          <cell r="O91">
            <v>2005.1985378175775</v>
          </cell>
        </row>
        <row r="92">
          <cell r="O92">
            <v>2005.1985378175775</v>
          </cell>
        </row>
        <row r="93">
          <cell r="O93">
            <v>2005.1985378175775</v>
          </cell>
        </row>
        <row r="94">
          <cell r="O94">
            <v>2005.1985378175775</v>
          </cell>
        </row>
        <row r="95">
          <cell r="O95">
            <v>2005.1985378175775</v>
          </cell>
        </row>
        <row r="96">
          <cell r="O96">
            <v>2005.1985378175775</v>
          </cell>
        </row>
        <row r="97">
          <cell r="O97">
            <v>2005.1985378175775</v>
          </cell>
        </row>
        <row r="98">
          <cell r="O98">
            <v>2005.1985378175775</v>
          </cell>
        </row>
        <row r="99">
          <cell r="O99">
            <v>2005.1985378175775</v>
          </cell>
        </row>
        <row r="100">
          <cell r="O100">
            <v>2005.1985378175775</v>
          </cell>
        </row>
        <row r="101">
          <cell r="O101">
            <v>2005.1985378175775</v>
          </cell>
        </row>
        <row r="102">
          <cell r="O102">
            <v>2005.1985378175775</v>
          </cell>
        </row>
        <row r="103">
          <cell r="O103">
            <v>2005.1985378175775</v>
          </cell>
        </row>
        <row r="104">
          <cell r="O104">
            <v>2005.1985378175775</v>
          </cell>
        </row>
        <row r="105">
          <cell r="O105">
            <v>2005.1985378175775</v>
          </cell>
        </row>
        <row r="106">
          <cell r="O106">
            <v>2005.1985378175775</v>
          </cell>
        </row>
        <row r="107">
          <cell r="O107">
            <v>2005.1671221081849</v>
          </cell>
        </row>
        <row r="108">
          <cell r="O108">
            <v>2005.1671221081849</v>
          </cell>
        </row>
        <row r="109">
          <cell r="O109">
            <v>2005.1671221081849</v>
          </cell>
        </row>
        <row r="110">
          <cell r="O110">
            <v>2005.1671221081849</v>
          </cell>
        </row>
        <row r="111">
          <cell r="O111">
            <v>2005.1671221081849</v>
          </cell>
        </row>
        <row r="112">
          <cell r="O112">
            <v>2005.1671221081849</v>
          </cell>
        </row>
        <row r="113">
          <cell r="O113">
            <v>2005.1671221081849</v>
          </cell>
        </row>
        <row r="114">
          <cell r="O114">
            <v>2005.1671221081849</v>
          </cell>
        </row>
        <row r="115">
          <cell r="O115">
            <v>2005.1671221081849</v>
          </cell>
        </row>
        <row r="116">
          <cell r="O116">
            <v>2005.1671221081849</v>
          </cell>
        </row>
        <row r="117">
          <cell r="O117">
            <v>2005.1671221081849</v>
          </cell>
        </row>
        <row r="118">
          <cell r="O118">
            <v>2005.1671221081849</v>
          </cell>
        </row>
        <row r="119">
          <cell r="O119">
            <v>2005.1671221081849</v>
          </cell>
        </row>
        <row r="120">
          <cell r="O120">
            <v>2005.1671221081849</v>
          </cell>
        </row>
        <row r="121">
          <cell r="O121">
            <v>2005.1671221081849</v>
          </cell>
        </row>
        <row r="122">
          <cell r="O122">
            <v>2005.1671221081849</v>
          </cell>
        </row>
        <row r="123">
          <cell r="O123">
            <v>2005.1671221081849</v>
          </cell>
        </row>
        <row r="124">
          <cell r="O124">
            <v>2004.775772128324</v>
          </cell>
        </row>
        <row r="125">
          <cell r="O125">
            <v>2004.775772128324</v>
          </cell>
        </row>
        <row r="126">
          <cell r="O126">
            <v>2004.775772128324</v>
          </cell>
        </row>
        <row r="127">
          <cell r="O127">
            <v>2004.775772128324</v>
          </cell>
        </row>
        <row r="128">
          <cell r="O128">
            <v>2004.775772128324</v>
          </cell>
        </row>
        <row r="129">
          <cell r="O129">
            <v>2004.775772128324</v>
          </cell>
        </row>
        <row r="130">
          <cell r="O130">
            <v>2004.775772128324</v>
          </cell>
        </row>
        <row r="131">
          <cell r="O131">
            <v>2004.775772128324</v>
          </cell>
        </row>
        <row r="132">
          <cell r="O132">
            <v>2004.775772128324</v>
          </cell>
        </row>
        <row r="133">
          <cell r="O133">
            <v>2004.775772128324</v>
          </cell>
        </row>
        <row r="134">
          <cell r="O134">
            <v>2004.775772128324</v>
          </cell>
        </row>
        <row r="135">
          <cell r="O135">
            <v>2004.775772128324</v>
          </cell>
        </row>
        <row r="136">
          <cell r="O136">
            <v>2004.775772128324</v>
          </cell>
        </row>
        <row r="137">
          <cell r="O137">
            <v>2004.775772128324</v>
          </cell>
        </row>
        <row r="138">
          <cell r="O138">
            <v>2004.775772128324</v>
          </cell>
        </row>
        <row r="139">
          <cell r="O139">
            <v>2004.775772128324</v>
          </cell>
        </row>
        <row r="140">
          <cell r="O140">
            <v>2004.775772128324</v>
          </cell>
        </row>
        <row r="141">
          <cell r="O141">
            <v>2005.0711695557834</v>
          </cell>
        </row>
        <row r="142">
          <cell r="O142">
            <v>2005.0711695557834</v>
          </cell>
        </row>
        <row r="143">
          <cell r="O143">
            <v>2005.0711695557834</v>
          </cell>
        </row>
        <row r="144">
          <cell r="O144">
            <v>2005.0711695557834</v>
          </cell>
        </row>
        <row r="145">
          <cell r="O145">
            <v>2005.0711695557834</v>
          </cell>
        </row>
        <row r="146">
          <cell r="O146">
            <v>2005.0711695557834</v>
          </cell>
        </row>
        <row r="147">
          <cell r="O147">
            <v>2005.0711695557834</v>
          </cell>
        </row>
        <row r="148">
          <cell r="O148">
            <v>2005.0711695557834</v>
          </cell>
        </row>
        <row r="149">
          <cell r="O149">
            <v>2005.0711695557834</v>
          </cell>
        </row>
        <row r="150">
          <cell r="O150">
            <v>2005.0711695557834</v>
          </cell>
        </row>
        <row r="151">
          <cell r="O151">
            <v>2005.0711695557834</v>
          </cell>
        </row>
        <row r="152">
          <cell r="O152">
            <v>2005.0711695557834</v>
          </cell>
        </row>
        <row r="153">
          <cell r="O153">
            <v>2005.0711695557834</v>
          </cell>
        </row>
        <row r="154">
          <cell r="O154">
            <v>2005.0711695557834</v>
          </cell>
        </row>
        <row r="155">
          <cell r="O155">
            <v>2005.0711695557834</v>
          </cell>
        </row>
        <row r="156">
          <cell r="O156">
            <v>2005.0711695557834</v>
          </cell>
        </row>
        <row r="157">
          <cell r="O157">
            <v>2005.0711695557834</v>
          </cell>
        </row>
        <row r="158">
          <cell r="O158">
            <v>2005.3163916073843</v>
          </cell>
        </row>
        <row r="159">
          <cell r="O159">
            <v>2005.3163916073843</v>
          </cell>
        </row>
        <row r="160">
          <cell r="O160">
            <v>2005.3163916073843</v>
          </cell>
        </row>
        <row r="161">
          <cell r="O161">
            <v>2005.3163916073843</v>
          </cell>
        </row>
        <row r="162">
          <cell r="O162">
            <v>2005.3163916073843</v>
          </cell>
        </row>
        <row r="163">
          <cell r="O163">
            <v>2005.3163916073843</v>
          </cell>
        </row>
        <row r="164">
          <cell r="O164">
            <v>2005.3163916073843</v>
          </cell>
        </row>
        <row r="165">
          <cell r="O165">
            <v>2005.3163916073843</v>
          </cell>
        </row>
        <row r="166">
          <cell r="O166">
            <v>2005.3163916073843</v>
          </cell>
        </row>
        <row r="167">
          <cell r="O167">
            <v>2005.3163916073843</v>
          </cell>
        </row>
        <row r="168">
          <cell r="O168">
            <v>2005.3163916073843</v>
          </cell>
        </row>
        <row r="169">
          <cell r="O169">
            <v>2005.3163916073843</v>
          </cell>
        </row>
        <row r="170">
          <cell r="O170">
            <v>2005.3163916073843</v>
          </cell>
        </row>
        <row r="171">
          <cell r="O171">
            <v>2005.3163916073843</v>
          </cell>
        </row>
        <row r="172">
          <cell r="O172">
            <v>2005.3163916073843</v>
          </cell>
        </row>
        <row r="173">
          <cell r="O173">
            <v>2005.3163916073843</v>
          </cell>
        </row>
        <row r="174">
          <cell r="O174">
            <v>2005.3163916073843</v>
          </cell>
        </row>
        <row r="175">
          <cell r="O175">
            <v>2005.1673913856941</v>
          </cell>
        </row>
        <row r="176">
          <cell r="O176">
            <v>2005.1673913856941</v>
          </cell>
        </row>
        <row r="177">
          <cell r="O177">
            <v>2005.1673913856941</v>
          </cell>
        </row>
        <row r="178">
          <cell r="O178">
            <v>2005.1673913856941</v>
          </cell>
        </row>
        <row r="179">
          <cell r="O179">
            <v>2005.1673913856941</v>
          </cell>
        </row>
        <row r="180">
          <cell r="O180">
            <v>2005.1673913856941</v>
          </cell>
        </row>
        <row r="181">
          <cell r="O181">
            <v>2005.1673913856941</v>
          </cell>
        </row>
        <row r="182">
          <cell r="O182">
            <v>2005.1673913856941</v>
          </cell>
        </row>
        <row r="183">
          <cell r="O183">
            <v>2005.1673913856941</v>
          </cell>
        </row>
        <row r="184">
          <cell r="O184">
            <v>2005.1673913856941</v>
          </cell>
        </row>
        <row r="185">
          <cell r="O185">
            <v>2005.1673913856941</v>
          </cell>
        </row>
        <row r="186">
          <cell r="O186">
            <v>2005.1673913856941</v>
          </cell>
        </row>
        <row r="187">
          <cell r="O187">
            <v>2005.1673913856941</v>
          </cell>
        </row>
        <row r="188">
          <cell r="O188">
            <v>2005.1673913856941</v>
          </cell>
        </row>
        <row r="189">
          <cell r="O189">
            <v>2005.1673913856941</v>
          </cell>
        </row>
        <row r="190">
          <cell r="O190">
            <v>2005.1673913856941</v>
          </cell>
        </row>
        <row r="191">
          <cell r="O191">
            <v>2005.1673913856941</v>
          </cell>
        </row>
        <row r="192">
          <cell r="O192">
            <v>2007.6113989376765</v>
          </cell>
        </row>
        <row r="193">
          <cell r="O193">
            <v>2007.6113989376765</v>
          </cell>
        </row>
        <row r="194">
          <cell r="O194">
            <v>2007.6113989376765</v>
          </cell>
        </row>
        <row r="195">
          <cell r="O195">
            <v>2007.6113989376765</v>
          </cell>
        </row>
        <row r="196">
          <cell r="O196">
            <v>2007.6113989376765</v>
          </cell>
        </row>
        <row r="197">
          <cell r="O197">
            <v>2007.6113989376765</v>
          </cell>
        </row>
        <row r="198">
          <cell r="O198">
            <v>2007.6113989376765</v>
          </cell>
        </row>
        <row r="199">
          <cell r="O199">
            <v>2007.6113989376765</v>
          </cell>
        </row>
        <row r="200">
          <cell r="O200">
            <v>2007.6113989376765</v>
          </cell>
        </row>
        <row r="201">
          <cell r="O201">
            <v>2007.6113989376765</v>
          </cell>
        </row>
        <row r="202">
          <cell r="O202">
            <v>2007.6113989376765</v>
          </cell>
        </row>
        <row r="203">
          <cell r="O203">
            <v>2007.6113989376765</v>
          </cell>
        </row>
        <row r="204">
          <cell r="O204">
            <v>2007.6113989376765</v>
          </cell>
        </row>
        <row r="205">
          <cell r="O205">
            <v>2007.6113989376765</v>
          </cell>
        </row>
        <row r="206">
          <cell r="O206">
            <v>2007.6113989376765</v>
          </cell>
        </row>
        <row r="207">
          <cell r="O207">
            <v>2007.6113989376765</v>
          </cell>
        </row>
        <row r="208">
          <cell r="O208">
            <v>2007.6113989376765</v>
          </cell>
        </row>
        <row r="209">
          <cell r="O209">
            <v>2009.4432489523538</v>
          </cell>
        </row>
        <row r="210">
          <cell r="O210">
            <v>2009.4432489523538</v>
          </cell>
        </row>
        <row r="211">
          <cell r="O211">
            <v>2009.4432489523538</v>
          </cell>
        </row>
        <row r="212">
          <cell r="O212">
            <v>2009.4432489523538</v>
          </cell>
        </row>
        <row r="213">
          <cell r="O213">
            <v>2009.4432489523538</v>
          </cell>
        </row>
        <row r="214">
          <cell r="O214">
            <v>2009.4432489523538</v>
          </cell>
        </row>
        <row r="215">
          <cell r="O215">
            <v>2009.4432489523538</v>
          </cell>
        </row>
        <row r="216">
          <cell r="O216">
            <v>2009.4432489523538</v>
          </cell>
        </row>
        <row r="217">
          <cell r="O217">
            <v>2009.4432489523538</v>
          </cell>
        </row>
        <row r="218">
          <cell r="O218">
            <v>2009.4432489523538</v>
          </cell>
        </row>
        <row r="219">
          <cell r="O219">
            <v>2009.4432489523538</v>
          </cell>
        </row>
        <row r="220">
          <cell r="O220">
            <v>2009.4432489523538</v>
          </cell>
        </row>
        <row r="221">
          <cell r="O221">
            <v>2009.4432489523538</v>
          </cell>
        </row>
        <row r="222">
          <cell r="O222">
            <v>2009.4432489523538</v>
          </cell>
        </row>
        <row r="223">
          <cell r="O223">
            <v>2009.4432489523538</v>
          </cell>
        </row>
        <row r="224">
          <cell r="O224">
            <v>2009.4432489523538</v>
          </cell>
        </row>
        <row r="225">
          <cell r="O225">
            <v>2009.4432489523538</v>
          </cell>
        </row>
        <row r="226">
          <cell r="O226">
            <v>2006.9693067172786</v>
          </cell>
        </row>
        <row r="227">
          <cell r="O227">
            <v>2006.9693067172786</v>
          </cell>
        </row>
        <row r="228">
          <cell r="O228">
            <v>2006.9693067172786</v>
          </cell>
        </row>
        <row r="229">
          <cell r="O229">
            <v>2006.9693067172786</v>
          </cell>
        </row>
        <row r="230">
          <cell r="O230">
            <v>2006.9693067172786</v>
          </cell>
        </row>
        <row r="231">
          <cell r="O231">
            <v>2006.9693067172786</v>
          </cell>
        </row>
        <row r="232">
          <cell r="O232">
            <v>2006.9693067172786</v>
          </cell>
        </row>
        <row r="233">
          <cell r="O233">
            <v>2006.9693067172786</v>
          </cell>
        </row>
        <row r="234">
          <cell r="O234">
            <v>2006.9693067172786</v>
          </cell>
        </row>
        <row r="235">
          <cell r="O235">
            <v>2006.9693067172786</v>
          </cell>
        </row>
        <row r="236">
          <cell r="O236">
            <v>2006.9693067172786</v>
          </cell>
        </row>
        <row r="237">
          <cell r="O237">
            <v>2006.9693067172786</v>
          </cell>
        </row>
        <row r="238">
          <cell r="O238">
            <v>2006.9693067172786</v>
          </cell>
        </row>
        <row r="239">
          <cell r="O239">
            <v>2006.9693067172786</v>
          </cell>
        </row>
        <row r="240">
          <cell r="O240">
            <v>2006.9693067172786</v>
          </cell>
        </row>
        <row r="241">
          <cell r="O241">
            <v>2006.9693067172786</v>
          </cell>
        </row>
      </sheetData>
      <sheetData sheetId="4">
        <row r="1">
          <cell r="E1" t="str">
            <v>home</v>
          </cell>
          <cell r="H1" t="str">
            <v>weekly_attendance</v>
          </cell>
        </row>
        <row r="2">
          <cell r="C2">
            <v>2000</v>
          </cell>
          <cell r="E2">
            <v>387475</v>
          </cell>
          <cell r="G2">
            <v>2</v>
          </cell>
          <cell r="H2">
            <v>66009</v>
          </cell>
        </row>
        <row r="3">
          <cell r="C3">
            <v>2000</v>
          </cell>
          <cell r="E3">
            <v>387475</v>
          </cell>
          <cell r="G3">
            <v>4</v>
          </cell>
          <cell r="H3">
            <v>71801</v>
          </cell>
        </row>
        <row r="4">
          <cell r="C4">
            <v>2000</v>
          </cell>
          <cell r="E4">
            <v>387475</v>
          </cell>
          <cell r="G4">
            <v>6</v>
          </cell>
          <cell r="H4">
            <v>44296</v>
          </cell>
        </row>
        <row r="5">
          <cell r="C5">
            <v>2000</v>
          </cell>
          <cell r="E5">
            <v>387475</v>
          </cell>
          <cell r="G5">
            <v>7</v>
          </cell>
          <cell r="H5">
            <v>38293</v>
          </cell>
        </row>
        <row r="6">
          <cell r="C6">
            <v>2000</v>
          </cell>
          <cell r="E6">
            <v>387475</v>
          </cell>
          <cell r="G6">
            <v>9</v>
          </cell>
          <cell r="H6">
            <v>35286</v>
          </cell>
        </row>
        <row r="7">
          <cell r="C7">
            <v>2000</v>
          </cell>
          <cell r="E7">
            <v>387475</v>
          </cell>
          <cell r="G7">
            <v>10</v>
          </cell>
          <cell r="H7">
            <v>52244</v>
          </cell>
        </row>
        <row r="8">
          <cell r="C8">
            <v>2000</v>
          </cell>
          <cell r="E8">
            <v>387475</v>
          </cell>
          <cell r="G8">
            <v>13</v>
          </cell>
          <cell r="H8">
            <v>42094</v>
          </cell>
        </row>
        <row r="9">
          <cell r="C9">
            <v>2000</v>
          </cell>
          <cell r="E9">
            <v>387475</v>
          </cell>
          <cell r="G9">
            <v>16</v>
          </cell>
          <cell r="H9">
            <v>37452</v>
          </cell>
        </row>
        <row r="10">
          <cell r="C10">
            <v>2001</v>
          </cell>
          <cell r="E10">
            <v>307315</v>
          </cell>
          <cell r="G10">
            <v>2</v>
          </cell>
          <cell r="H10">
            <v>50913</v>
          </cell>
        </row>
        <row r="11">
          <cell r="C11">
            <v>2001</v>
          </cell>
          <cell r="E11">
            <v>307315</v>
          </cell>
          <cell r="G11">
            <v>3</v>
          </cell>
          <cell r="H11">
            <v>28878</v>
          </cell>
        </row>
        <row r="12">
          <cell r="C12">
            <v>2001</v>
          </cell>
          <cell r="E12">
            <v>307315</v>
          </cell>
          <cell r="G12">
            <v>6</v>
          </cell>
          <cell r="H12">
            <v>35916</v>
          </cell>
        </row>
        <row r="13">
          <cell r="C13">
            <v>2001</v>
          </cell>
          <cell r="E13">
            <v>307315</v>
          </cell>
          <cell r="G13">
            <v>8</v>
          </cell>
          <cell r="H13">
            <v>33430</v>
          </cell>
        </row>
        <row r="14">
          <cell r="C14">
            <v>2001</v>
          </cell>
          <cell r="E14">
            <v>307315</v>
          </cell>
          <cell r="G14">
            <v>9</v>
          </cell>
          <cell r="H14">
            <v>36917</v>
          </cell>
        </row>
        <row r="15">
          <cell r="C15">
            <v>2001</v>
          </cell>
          <cell r="E15">
            <v>307315</v>
          </cell>
          <cell r="G15">
            <v>10</v>
          </cell>
          <cell r="H15">
            <v>32322</v>
          </cell>
        </row>
        <row r="16">
          <cell r="C16">
            <v>2001</v>
          </cell>
          <cell r="E16">
            <v>307315</v>
          </cell>
          <cell r="G16">
            <v>13</v>
          </cell>
          <cell r="H16">
            <v>40056</v>
          </cell>
        </row>
        <row r="17">
          <cell r="C17">
            <v>2001</v>
          </cell>
          <cell r="E17">
            <v>307315</v>
          </cell>
          <cell r="G17">
            <v>15</v>
          </cell>
          <cell r="H17">
            <v>48883</v>
          </cell>
        </row>
        <row r="18">
          <cell r="C18">
            <v>2002</v>
          </cell>
          <cell r="E18">
            <v>327272</v>
          </cell>
          <cell r="G18">
            <v>3</v>
          </cell>
          <cell r="H18">
            <v>28980</v>
          </cell>
        </row>
        <row r="19">
          <cell r="C19">
            <v>2002</v>
          </cell>
          <cell r="E19">
            <v>327272</v>
          </cell>
          <cell r="G19">
            <v>4</v>
          </cell>
          <cell r="H19">
            <v>30014</v>
          </cell>
        </row>
        <row r="20">
          <cell r="C20">
            <v>2002</v>
          </cell>
          <cell r="E20">
            <v>327272</v>
          </cell>
          <cell r="G20">
            <v>7</v>
          </cell>
          <cell r="H20">
            <v>59702</v>
          </cell>
        </row>
        <row r="21">
          <cell r="C21">
            <v>2002</v>
          </cell>
          <cell r="E21">
            <v>327272</v>
          </cell>
          <cell r="G21">
            <v>9</v>
          </cell>
          <cell r="H21">
            <v>47819</v>
          </cell>
        </row>
        <row r="22">
          <cell r="C22">
            <v>2002</v>
          </cell>
          <cell r="E22">
            <v>327272</v>
          </cell>
          <cell r="G22">
            <v>10</v>
          </cell>
          <cell r="H22">
            <v>29252</v>
          </cell>
        </row>
        <row r="23">
          <cell r="C23">
            <v>2002</v>
          </cell>
          <cell r="E23">
            <v>327272</v>
          </cell>
          <cell r="G23">
            <v>12</v>
          </cell>
          <cell r="H23">
            <v>58814</v>
          </cell>
        </row>
        <row r="24">
          <cell r="C24">
            <v>2002</v>
          </cell>
          <cell r="E24">
            <v>327272</v>
          </cell>
          <cell r="G24">
            <v>14</v>
          </cell>
          <cell r="H24">
            <v>28640</v>
          </cell>
        </row>
        <row r="25">
          <cell r="C25">
            <v>2002</v>
          </cell>
          <cell r="E25">
            <v>327272</v>
          </cell>
          <cell r="G25">
            <v>16</v>
          </cell>
          <cell r="H25">
            <v>44051</v>
          </cell>
        </row>
        <row r="26">
          <cell r="C26">
            <v>2003</v>
          </cell>
          <cell r="E26">
            <v>288499</v>
          </cell>
          <cell r="G26">
            <v>2</v>
          </cell>
          <cell r="H26">
            <v>23127</v>
          </cell>
        </row>
        <row r="27">
          <cell r="C27">
            <v>2003</v>
          </cell>
          <cell r="E27">
            <v>288499</v>
          </cell>
          <cell r="G27">
            <v>3</v>
          </cell>
          <cell r="H27">
            <v>58784</v>
          </cell>
        </row>
        <row r="28">
          <cell r="C28">
            <v>2003</v>
          </cell>
          <cell r="E28">
            <v>288499</v>
          </cell>
          <cell r="G28">
            <v>6</v>
          </cell>
          <cell r="H28">
            <v>24193</v>
          </cell>
        </row>
        <row r="29">
          <cell r="C29">
            <v>2003</v>
          </cell>
          <cell r="E29">
            <v>288499</v>
          </cell>
          <cell r="G29">
            <v>8</v>
          </cell>
          <cell r="H29">
            <v>40824</v>
          </cell>
        </row>
        <row r="30">
          <cell r="C30">
            <v>2003</v>
          </cell>
          <cell r="E30">
            <v>288499</v>
          </cell>
          <cell r="G30">
            <v>9</v>
          </cell>
          <cell r="H30">
            <v>23531</v>
          </cell>
        </row>
        <row r="31">
          <cell r="C31">
            <v>2003</v>
          </cell>
          <cell r="E31">
            <v>288499</v>
          </cell>
          <cell r="G31">
            <v>12</v>
          </cell>
          <cell r="H31">
            <v>42089</v>
          </cell>
        </row>
        <row r="32">
          <cell r="C32">
            <v>2003</v>
          </cell>
          <cell r="E32">
            <v>288499</v>
          </cell>
          <cell r="G32">
            <v>15</v>
          </cell>
          <cell r="H32">
            <v>23217</v>
          </cell>
        </row>
        <row r="33">
          <cell r="C33">
            <v>2003</v>
          </cell>
          <cell r="E33">
            <v>288499</v>
          </cell>
          <cell r="G33">
            <v>17</v>
          </cell>
          <cell r="H33">
            <v>52734</v>
          </cell>
        </row>
        <row r="34">
          <cell r="C34">
            <v>2004</v>
          </cell>
          <cell r="E34">
            <v>300267</v>
          </cell>
          <cell r="G34">
            <v>2</v>
          </cell>
          <cell r="H34">
            <v>51557</v>
          </cell>
        </row>
        <row r="35">
          <cell r="C35">
            <v>2004</v>
          </cell>
          <cell r="E35">
            <v>300267</v>
          </cell>
          <cell r="G35">
            <v>4</v>
          </cell>
          <cell r="H35">
            <v>28109</v>
          </cell>
        </row>
        <row r="36">
          <cell r="C36">
            <v>2004</v>
          </cell>
          <cell r="E36">
            <v>300267</v>
          </cell>
          <cell r="G36">
            <v>7</v>
          </cell>
          <cell r="H36">
            <v>35695</v>
          </cell>
        </row>
        <row r="37">
          <cell r="C37">
            <v>2004</v>
          </cell>
          <cell r="E37">
            <v>300267</v>
          </cell>
          <cell r="G37">
            <v>10</v>
          </cell>
          <cell r="H37">
            <v>42297</v>
          </cell>
        </row>
        <row r="38">
          <cell r="C38">
            <v>2004</v>
          </cell>
          <cell r="E38">
            <v>300267</v>
          </cell>
          <cell r="G38">
            <v>12</v>
          </cell>
          <cell r="H38">
            <v>35820</v>
          </cell>
        </row>
        <row r="39">
          <cell r="C39">
            <v>2004</v>
          </cell>
          <cell r="E39">
            <v>300267</v>
          </cell>
          <cell r="G39">
            <v>14</v>
          </cell>
          <cell r="H39">
            <v>35069</v>
          </cell>
        </row>
        <row r="40">
          <cell r="C40">
            <v>2004</v>
          </cell>
          <cell r="E40">
            <v>300267</v>
          </cell>
          <cell r="G40">
            <v>15</v>
          </cell>
          <cell r="H40">
            <v>40070</v>
          </cell>
        </row>
        <row r="41">
          <cell r="C41">
            <v>2004</v>
          </cell>
          <cell r="E41">
            <v>300267</v>
          </cell>
          <cell r="G41">
            <v>17</v>
          </cell>
          <cell r="H41">
            <v>31650</v>
          </cell>
        </row>
        <row r="42">
          <cell r="C42">
            <v>2005</v>
          </cell>
          <cell r="E42">
            <v>401035</v>
          </cell>
          <cell r="G42">
            <v>2</v>
          </cell>
          <cell r="H42">
            <v>45160</v>
          </cell>
        </row>
        <row r="43">
          <cell r="C43">
            <v>2005</v>
          </cell>
          <cell r="E43">
            <v>401035</v>
          </cell>
          <cell r="G43">
            <v>4</v>
          </cell>
          <cell r="H43">
            <v>103467</v>
          </cell>
        </row>
        <row r="44">
          <cell r="C44">
            <v>2005</v>
          </cell>
          <cell r="E44">
            <v>401035</v>
          </cell>
          <cell r="G44">
            <v>5</v>
          </cell>
          <cell r="H44">
            <v>38809</v>
          </cell>
        </row>
        <row r="45">
          <cell r="C45">
            <v>2005</v>
          </cell>
          <cell r="E45">
            <v>401035</v>
          </cell>
          <cell r="G45">
            <v>7</v>
          </cell>
          <cell r="H45">
            <v>39482</v>
          </cell>
        </row>
        <row r="46">
          <cell r="C46">
            <v>2005</v>
          </cell>
          <cell r="E46">
            <v>401035</v>
          </cell>
          <cell r="G46">
            <v>9</v>
          </cell>
          <cell r="H46">
            <v>43542</v>
          </cell>
        </row>
        <row r="47">
          <cell r="C47">
            <v>2005</v>
          </cell>
          <cell r="E47">
            <v>401035</v>
          </cell>
          <cell r="G47">
            <v>12</v>
          </cell>
          <cell r="H47">
            <v>39198</v>
          </cell>
        </row>
        <row r="48">
          <cell r="C48">
            <v>2005</v>
          </cell>
          <cell r="E48">
            <v>401035</v>
          </cell>
          <cell r="G48">
            <v>14</v>
          </cell>
          <cell r="H48">
            <v>46654</v>
          </cell>
        </row>
        <row r="49">
          <cell r="C49">
            <v>2005</v>
          </cell>
          <cell r="E49">
            <v>401035</v>
          </cell>
          <cell r="G49">
            <v>16</v>
          </cell>
          <cell r="H49">
            <v>44723</v>
          </cell>
        </row>
        <row r="50">
          <cell r="C50">
            <v>2006</v>
          </cell>
          <cell r="E50">
            <v>508829</v>
          </cell>
          <cell r="G50">
            <v>1</v>
          </cell>
          <cell r="H50">
            <v>63407</v>
          </cell>
        </row>
        <row r="51">
          <cell r="C51">
            <v>2006</v>
          </cell>
          <cell r="E51">
            <v>508829</v>
          </cell>
          <cell r="G51">
            <v>3</v>
          </cell>
          <cell r="H51">
            <v>63278</v>
          </cell>
        </row>
        <row r="52">
          <cell r="C52">
            <v>2006</v>
          </cell>
          <cell r="E52">
            <v>508829</v>
          </cell>
          <cell r="G52">
            <v>5</v>
          </cell>
          <cell r="H52">
            <v>63445</v>
          </cell>
        </row>
        <row r="53">
          <cell r="C53">
            <v>2006</v>
          </cell>
          <cell r="E53">
            <v>508829</v>
          </cell>
          <cell r="G53">
            <v>6</v>
          </cell>
          <cell r="H53">
            <v>63977</v>
          </cell>
        </row>
        <row r="54">
          <cell r="C54">
            <v>2006</v>
          </cell>
          <cell r="E54">
            <v>508829</v>
          </cell>
          <cell r="G54">
            <v>10</v>
          </cell>
          <cell r="H54">
            <v>63926</v>
          </cell>
        </row>
        <row r="55">
          <cell r="C55">
            <v>2006</v>
          </cell>
          <cell r="E55">
            <v>508829</v>
          </cell>
          <cell r="G55">
            <v>11</v>
          </cell>
          <cell r="H55">
            <v>63348</v>
          </cell>
        </row>
        <row r="56">
          <cell r="C56">
            <v>2006</v>
          </cell>
          <cell r="E56">
            <v>508829</v>
          </cell>
          <cell r="G56">
            <v>14</v>
          </cell>
          <cell r="H56">
            <v>63603</v>
          </cell>
          <cell r="O56">
            <v>2004.2501549169519</v>
          </cell>
        </row>
        <row r="57">
          <cell r="C57">
            <v>2006</v>
          </cell>
          <cell r="E57">
            <v>508829</v>
          </cell>
          <cell r="G57">
            <v>15</v>
          </cell>
          <cell r="H57">
            <v>63845</v>
          </cell>
          <cell r="O57">
            <v>2004.2501549169519</v>
          </cell>
        </row>
        <row r="58">
          <cell r="C58">
            <v>2007</v>
          </cell>
          <cell r="E58">
            <v>516646</v>
          </cell>
          <cell r="G58">
            <v>2</v>
          </cell>
          <cell r="H58">
            <v>64542</v>
          </cell>
          <cell r="O58">
            <v>2004.2501549169519</v>
          </cell>
        </row>
        <row r="59">
          <cell r="C59">
            <v>2007</v>
          </cell>
          <cell r="E59">
            <v>516646</v>
          </cell>
          <cell r="G59">
            <v>4</v>
          </cell>
          <cell r="H59">
            <v>64844</v>
          </cell>
          <cell r="O59">
            <v>2004.2501549169519</v>
          </cell>
        </row>
        <row r="60">
          <cell r="C60">
            <v>2007</v>
          </cell>
          <cell r="E60">
            <v>516646</v>
          </cell>
          <cell r="G60">
            <v>6</v>
          </cell>
          <cell r="H60">
            <v>64403</v>
          </cell>
          <cell r="O60">
            <v>2004.2501549169519</v>
          </cell>
        </row>
        <row r="61">
          <cell r="C61">
            <v>2007</v>
          </cell>
          <cell r="E61">
            <v>516646</v>
          </cell>
          <cell r="G61">
            <v>10</v>
          </cell>
          <cell r="H61">
            <v>64753</v>
          </cell>
          <cell r="O61">
            <v>2004.2501549169519</v>
          </cell>
        </row>
        <row r="62">
          <cell r="C62">
            <v>2007</v>
          </cell>
          <cell r="E62">
            <v>516646</v>
          </cell>
          <cell r="G62">
            <v>12</v>
          </cell>
          <cell r="H62">
            <v>64483</v>
          </cell>
          <cell r="O62">
            <v>2004.2501549169519</v>
          </cell>
        </row>
        <row r="63">
          <cell r="C63">
            <v>2007</v>
          </cell>
          <cell r="E63">
            <v>516646</v>
          </cell>
          <cell r="G63">
            <v>13</v>
          </cell>
          <cell r="H63">
            <v>64791</v>
          </cell>
          <cell r="O63">
            <v>2004.2501549169519</v>
          </cell>
        </row>
        <row r="64">
          <cell r="C64">
            <v>2007</v>
          </cell>
          <cell r="E64">
            <v>516646</v>
          </cell>
          <cell r="G64">
            <v>16</v>
          </cell>
          <cell r="H64">
            <v>64159</v>
          </cell>
          <cell r="O64">
            <v>2004.2501549169519</v>
          </cell>
        </row>
        <row r="65">
          <cell r="C65">
            <v>2007</v>
          </cell>
          <cell r="E65">
            <v>516646</v>
          </cell>
          <cell r="G65">
            <v>17</v>
          </cell>
          <cell r="H65">
            <v>64671</v>
          </cell>
          <cell r="O65">
            <v>2004.2501549169519</v>
          </cell>
        </row>
        <row r="66">
          <cell r="C66">
            <v>2008</v>
          </cell>
          <cell r="E66">
            <v>512775</v>
          </cell>
          <cell r="G66">
            <v>2</v>
          </cell>
          <cell r="H66">
            <v>63445</v>
          </cell>
          <cell r="O66">
            <v>2004.2501549169519</v>
          </cell>
        </row>
        <row r="67">
          <cell r="C67">
            <v>2008</v>
          </cell>
          <cell r="E67">
            <v>512775</v>
          </cell>
          <cell r="G67">
            <v>5</v>
          </cell>
          <cell r="H67">
            <v>63830</v>
          </cell>
          <cell r="O67">
            <v>2004.2501549169519</v>
          </cell>
        </row>
        <row r="68">
          <cell r="C68">
            <v>2008</v>
          </cell>
          <cell r="E68">
            <v>512775</v>
          </cell>
          <cell r="G68">
            <v>6</v>
          </cell>
          <cell r="H68">
            <v>64389</v>
          </cell>
          <cell r="O68">
            <v>2004.2501549169519</v>
          </cell>
        </row>
        <row r="69">
          <cell r="C69">
            <v>2008</v>
          </cell>
          <cell r="E69">
            <v>512775</v>
          </cell>
          <cell r="G69">
            <v>10</v>
          </cell>
          <cell r="H69">
            <v>64519</v>
          </cell>
          <cell r="O69">
            <v>2004.2501549169519</v>
          </cell>
        </row>
        <row r="70">
          <cell r="C70">
            <v>2008</v>
          </cell>
          <cell r="E70">
            <v>512775</v>
          </cell>
          <cell r="G70">
            <v>12</v>
          </cell>
          <cell r="H70">
            <v>64541</v>
          </cell>
          <cell r="O70">
            <v>2004.2501549169519</v>
          </cell>
        </row>
        <row r="71">
          <cell r="C71">
            <v>2008</v>
          </cell>
          <cell r="E71">
            <v>512775</v>
          </cell>
          <cell r="G71">
            <v>14</v>
          </cell>
          <cell r="H71">
            <v>63720</v>
          </cell>
          <cell r="O71">
            <v>2004.2501549169519</v>
          </cell>
        </row>
        <row r="72">
          <cell r="C72">
            <v>2008</v>
          </cell>
          <cell r="E72">
            <v>512775</v>
          </cell>
          <cell r="G72">
            <v>15</v>
          </cell>
          <cell r="H72">
            <v>64457</v>
          </cell>
          <cell r="O72">
            <v>2004.2501549169519</v>
          </cell>
        </row>
        <row r="73">
          <cell r="C73">
            <v>2008</v>
          </cell>
          <cell r="E73">
            <v>512775</v>
          </cell>
          <cell r="G73">
            <v>17</v>
          </cell>
          <cell r="H73">
            <v>63874</v>
          </cell>
          <cell r="O73">
            <v>2002.052179440361</v>
          </cell>
        </row>
        <row r="74">
          <cell r="C74">
            <v>2009</v>
          </cell>
          <cell r="E74">
            <v>505143</v>
          </cell>
          <cell r="G74">
            <v>1</v>
          </cell>
          <cell r="H74">
            <v>61981</v>
          </cell>
          <cell r="O74">
            <v>2002.052179440361</v>
          </cell>
        </row>
        <row r="75">
          <cell r="C75">
            <v>2009</v>
          </cell>
          <cell r="E75">
            <v>505143</v>
          </cell>
          <cell r="G75">
            <v>3</v>
          </cell>
          <cell r="H75">
            <v>62692</v>
          </cell>
          <cell r="O75">
            <v>2002.052179440361</v>
          </cell>
        </row>
        <row r="76">
          <cell r="C76">
            <v>2009</v>
          </cell>
          <cell r="E76">
            <v>505143</v>
          </cell>
          <cell r="G76">
            <v>5</v>
          </cell>
          <cell r="H76">
            <v>61819</v>
          </cell>
          <cell r="O76">
            <v>2002.052179440361</v>
          </cell>
        </row>
        <row r="77">
          <cell r="C77">
            <v>2009</v>
          </cell>
          <cell r="E77">
            <v>505143</v>
          </cell>
          <cell r="G77">
            <v>8</v>
          </cell>
          <cell r="H77">
            <v>62031</v>
          </cell>
          <cell r="O77">
            <v>2002.052179440361</v>
          </cell>
        </row>
        <row r="78">
          <cell r="C78">
            <v>2009</v>
          </cell>
          <cell r="E78">
            <v>505143</v>
          </cell>
          <cell r="G78">
            <v>10</v>
          </cell>
          <cell r="H78">
            <v>62278</v>
          </cell>
          <cell r="O78">
            <v>2002.052179440361</v>
          </cell>
        </row>
        <row r="79">
          <cell r="C79">
            <v>2009</v>
          </cell>
          <cell r="E79">
            <v>505143</v>
          </cell>
          <cell r="G79">
            <v>13</v>
          </cell>
          <cell r="H79">
            <v>64121</v>
          </cell>
          <cell r="O79">
            <v>2002.052179440361</v>
          </cell>
        </row>
        <row r="80">
          <cell r="C80">
            <v>2009</v>
          </cell>
          <cell r="E80">
            <v>505143</v>
          </cell>
          <cell r="G80">
            <v>16</v>
          </cell>
          <cell r="H80">
            <v>62624</v>
          </cell>
          <cell r="O80">
            <v>2002.052179440361</v>
          </cell>
        </row>
        <row r="81">
          <cell r="C81">
            <v>2009</v>
          </cell>
          <cell r="E81">
            <v>505143</v>
          </cell>
          <cell r="G81">
            <v>17</v>
          </cell>
          <cell r="H81">
            <v>67597</v>
          </cell>
          <cell r="O81">
            <v>2002.052179440361</v>
          </cell>
        </row>
        <row r="82">
          <cell r="C82">
            <v>2010</v>
          </cell>
          <cell r="E82">
            <v>502197</v>
          </cell>
          <cell r="G82">
            <v>3</v>
          </cell>
          <cell r="H82">
            <v>62439</v>
          </cell>
          <cell r="O82">
            <v>2002.052179440361</v>
          </cell>
        </row>
        <row r="83">
          <cell r="C83">
            <v>2010</v>
          </cell>
          <cell r="E83">
            <v>502197</v>
          </cell>
          <cell r="G83">
            <v>5</v>
          </cell>
          <cell r="H83">
            <v>62621</v>
          </cell>
          <cell r="O83">
            <v>2002.052179440361</v>
          </cell>
        </row>
        <row r="84">
          <cell r="C84">
            <v>2010</v>
          </cell>
          <cell r="E84">
            <v>502197</v>
          </cell>
          <cell r="G84">
            <v>8</v>
          </cell>
          <cell r="H84">
            <v>61857</v>
          </cell>
          <cell r="O84">
            <v>2002.052179440361</v>
          </cell>
        </row>
        <row r="85">
          <cell r="C85">
            <v>2010</v>
          </cell>
          <cell r="E85">
            <v>502197</v>
          </cell>
          <cell r="G85">
            <v>10</v>
          </cell>
          <cell r="H85">
            <v>61904</v>
          </cell>
          <cell r="O85">
            <v>2002.052179440361</v>
          </cell>
        </row>
        <row r="86">
          <cell r="C86">
            <v>2010</v>
          </cell>
          <cell r="E86">
            <v>502197</v>
          </cell>
          <cell r="G86">
            <v>12</v>
          </cell>
          <cell r="H86">
            <v>62308</v>
          </cell>
          <cell r="O86">
            <v>2002.052179440361</v>
          </cell>
        </row>
        <row r="87">
          <cell r="C87">
            <v>2010</v>
          </cell>
          <cell r="E87">
            <v>502197</v>
          </cell>
          <cell r="G87">
            <v>13</v>
          </cell>
          <cell r="H87">
            <v>61874</v>
          </cell>
          <cell r="O87">
            <v>2002.052179440361</v>
          </cell>
        </row>
        <row r="88">
          <cell r="C88">
            <v>2010</v>
          </cell>
          <cell r="E88">
            <v>502197</v>
          </cell>
          <cell r="G88">
            <v>14</v>
          </cell>
          <cell r="H88">
            <v>62223</v>
          </cell>
          <cell r="O88">
            <v>2002.052179440361</v>
          </cell>
        </row>
        <row r="89">
          <cell r="C89">
            <v>2010</v>
          </cell>
          <cell r="E89">
            <v>502197</v>
          </cell>
          <cell r="G89">
            <v>16</v>
          </cell>
          <cell r="H89">
            <v>66971</v>
          </cell>
          <cell r="O89">
            <v>2002.052179440361</v>
          </cell>
        </row>
        <row r="90">
          <cell r="O90">
            <v>2002.5993974616474</v>
          </cell>
        </row>
        <row r="91">
          <cell r="O91">
            <v>2002.5993974616474</v>
          </cell>
        </row>
        <row r="92">
          <cell r="O92">
            <v>2002.5993974616474</v>
          </cell>
        </row>
        <row r="93">
          <cell r="O93">
            <v>2002.5993974616474</v>
          </cell>
        </row>
        <row r="94">
          <cell r="O94">
            <v>2002.5993974616474</v>
          </cell>
        </row>
        <row r="95">
          <cell r="O95">
            <v>2002.5993974616474</v>
          </cell>
        </row>
        <row r="96">
          <cell r="O96">
            <v>2002.5993974616474</v>
          </cell>
        </row>
        <row r="97">
          <cell r="O97">
            <v>2002.5993974616474</v>
          </cell>
        </row>
        <row r="98">
          <cell r="O98">
            <v>2002.5993974616474</v>
          </cell>
        </row>
        <row r="99">
          <cell r="O99">
            <v>2002.5993974616474</v>
          </cell>
        </row>
        <row r="100">
          <cell r="O100">
            <v>2002.5993974616474</v>
          </cell>
        </row>
        <row r="101">
          <cell r="O101">
            <v>2002.5993974616474</v>
          </cell>
        </row>
        <row r="102">
          <cell r="O102">
            <v>2002.5993974616474</v>
          </cell>
        </row>
        <row r="103">
          <cell r="O103">
            <v>2002.5993974616474</v>
          </cell>
        </row>
        <row r="104">
          <cell r="O104">
            <v>2002.5993974616474</v>
          </cell>
        </row>
        <row r="105">
          <cell r="O105">
            <v>2002.5993974616474</v>
          </cell>
        </row>
        <row r="106">
          <cell r="O106">
            <v>2002.5993974616474</v>
          </cell>
        </row>
        <row r="107">
          <cell r="O107">
            <v>2001.5362474722031</v>
          </cell>
        </row>
        <row r="108">
          <cell r="O108">
            <v>2001.5362474722031</v>
          </cell>
        </row>
        <row r="109">
          <cell r="O109">
            <v>2001.5362474722031</v>
          </cell>
        </row>
        <row r="110">
          <cell r="O110">
            <v>2001.5362474722031</v>
          </cell>
        </row>
        <row r="111">
          <cell r="O111">
            <v>2001.5362474722031</v>
          </cell>
        </row>
        <row r="112">
          <cell r="O112">
            <v>2001.5362474722031</v>
          </cell>
        </row>
        <row r="113">
          <cell r="O113">
            <v>2001.5362474722031</v>
          </cell>
        </row>
        <row r="114">
          <cell r="O114">
            <v>2001.5362474722031</v>
          </cell>
        </row>
        <row r="115">
          <cell r="O115">
            <v>2001.5362474722031</v>
          </cell>
        </row>
        <row r="116">
          <cell r="O116">
            <v>2001.5362474722031</v>
          </cell>
        </row>
        <row r="117">
          <cell r="O117">
            <v>2001.5362474722031</v>
          </cell>
        </row>
        <row r="118">
          <cell r="O118">
            <v>2001.5362474722031</v>
          </cell>
        </row>
        <row r="119">
          <cell r="O119">
            <v>2001.5362474722031</v>
          </cell>
        </row>
        <row r="120">
          <cell r="O120">
            <v>2001.5362474722031</v>
          </cell>
        </row>
        <row r="121">
          <cell r="O121">
            <v>2001.5362474722031</v>
          </cell>
        </row>
        <row r="122">
          <cell r="O122">
            <v>2001.5362474722031</v>
          </cell>
        </row>
        <row r="123">
          <cell r="O123">
            <v>2001.5362474722031</v>
          </cell>
        </row>
        <row r="124">
          <cell r="O124">
            <v>2001.8589243111317</v>
          </cell>
        </row>
        <row r="125">
          <cell r="O125">
            <v>2001.8589243111317</v>
          </cell>
        </row>
        <row r="126">
          <cell r="O126">
            <v>2001.8589243111317</v>
          </cell>
        </row>
        <row r="127">
          <cell r="O127">
            <v>2001.8589243111317</v>
          </cell>
        </row>
        <row r="128">
          <cell r="O128">
            <v>2001.8589243111317</v>
          </cell>
        </row>
        <row r="129">
          <cell r="O129">
            <v>2001.8589243111317</v>
          </cell>
        </row>
        <row r="130">
          <cell r="O130">
            <v>2001.8589243111317</v>
          </cell>
        </row>
        <row r="131">
          <cell r="O131">
            <v>2001.8589243111317</v>
          </cell>
        </row>
        <row r="132">
          <cell r="O132">
            <v>2001.8589243111317</v>
          </cell>
        </row>
        <row r="133">
          <cell r="O133">
            <v>2001.8589243111317</v>
          </cell>
        </row>
        <row r="134">
          <cell r="O134">
            <v>2001.8589243111317</v>
          </cell>
        </row>
        <row r="135">
          <cell r="O135">
            <v>2001.8589243111317</v>
          </cell>
        </row>
        <row r="136">
          <cell r="O136">
            <v>2001.8589243111317</v>
          </cell>
        </row>
        <row r="137">
          <cell r="O137">
            <v>2001.8589243111317</v>
          </cell>
        </row>
        <row r="138">
          <cell r="O138">
            <v>2001.8589243111317</v>
          </cell>
        </row>
        <row r="139">
          <cell r="O139">
            <v>2001.8589243111317</v>
          </cell>
        </row>
        <row r="140">
          <cell r="O140">
            <v>2001.8589243111317</v>
          </cell>
        </row>
        <row r="141">
          <cell r="O141">
            <v>2004.6219681338005</v>
          </cell>
        </row>
        <row r="142">
          <cell r="O142">
            <v>2004.6219681338005</v>
          </cell>
        </row>
        <row r="143">
          <cell r="O143">
            <v>2004.6219681338005</v>
          </cell>
        </row>
        <row r="144">
          <cell r="O144">
            <v>2004.6219681338005</v>
          </cell>
        </row>
        <row r="145">
          <cell r="O145">
            <v>2004.6219681338005</v>
          </cell>
        </row>
        <row r="146">
          <cell r="O146">
            <v>2004.6219681338005</v>
          </cell>
        </row>
        <row r="147">
          <cell r="O147">
            <v>2004.6219681338005</v>
          </cell>
        </row>
        <row r="148">
          <cell r="O148">
            <v>2004.6219681338005</v>
          </cell>
        </row>
        <row r="149">
          <cell r="O149">
            <v>2004.6219681338005</v>
          </cell>
        </row>
        <row r="150">
          <cell r="O150">
            <v>2004.6219681338005</v>
          </cell>
        </row>
        <row r="151">
          <cell r="O151">
            <v>2004.6219681338005</v>
          </cell>
        </row>
        <row r="152">
          <cell r="O152">
            <v>2004.6219681338005</v>
          </cell>
        </row>
        <row r="153">
          <cell r="O153">
            <v>2004.6219681338005</v>
          </cell>
        </row>
        <row r="154">
          <cell r="O154">
            <v>2004.6219681338005</v>
          </cell>
        </row>
        <row r="155">
          <cell r="O155">
            <v>2004.6219681338005</v>
          </cell>
        </row>
        <row r="156">
          <cell r="O156">
            <v>2004.6219681338005</v>
          </cell>
        </row>
        <row r="157">
          <cell r="O157">
            <v>2004.6219681338005</v>
          </cell>
        </row>
        <row r="158">
          <cell r="O158">
            <v>2007.5776638489158</v>
          </cell>
        </row>
        <row r="159">
          <cell r="O159">
            <v>2007.5776638489158</v>
          </cell>
        </row>
        <row r="160">
          <cell r="O160">
            <v>2007.5776638489158</v>
          </cell>
        </row>
        <row r="161">
          <cell r="O161">
            <v>2007.5776638489158</v>
          </cell>
        </row>
        <row r="162">
          <cell r="O162">
            <v>2007.5776638489158</v>
          </cell>
        </row>
        <row r="163">
          <cell r="O163">
            <v>2007.5776638489158</v>
          </cell>
        </row>
        <row r="164">
          <cell r="O164">
            <v>2007.5776638489158</v>
          </cell>
        </row>
        <row r="165">
          <cell r="O165">
            <v>2007.5776638489158</v>
          </cell>
        </row>
        <row r="166">
          <cell r="O166">
            <v>2007.5776638489158</v>
          </cell>
        </row>
        <row r="167">
          <cell r="O167">
            <v>2007.5776638489158</v>
          </cell>
        </row>
        <row r="168">
          <cell r="O168">
            <v>2007.5776638489158</v>
          </cell>
        </row>
        <row r="169">
          <cell r="O169">
            <v>2007.5776638489158</v>
          </cell>
        </row>
        <row r="170">
          <cell r="O170">
            <v>2007.5776638489158</v>
          </cell>
        </row>
        <row r="171">
          <cell r="O171">
            <v>2007.5776638489158</v>
          </cell>
        </row>
        <row r="172">
          <cell r="O172">
            <v>2007.5776638489158</v>
          </cell>
        </row>
        <row r="173">
          <cell r="O173">
            <v>2007.5776638489158</v>
          </cell>
        </row>
        <row r="174">
          <cell r="O174">
            <v>2007.5776638489158</v>
          </cell>
        </row>
        <row r="175">
          <cell r="O175">
            <v>2007.7920048456788</v>
          </cell>
        </row>
        <row r="176">
          <cell r="O176">
            <v>2007.7920048456788</v>
          </cell>
        </row>
        <row r="177">
          <cell r="O177">
            <v>2007.7920048456788</v>
          </cell>
        </row>
        <row r="178">
          <cell r="O178">
            <v>2007.7920048456788</v>
          </cell>
        </row>
        <row r="179">
          <cell r="O179">
            <v>2007.7920048456788</v>
          </cell>
        </row>
        <row r="180">
          <cell r="O180">
            <v>2007.7920048456788</v>
          </cell>
        </row>
        <row r="181">
          <cell r="O181">
            <v>2007.7920048456788</v>
          </cell>
        </row>
        <row r="182">
          <cell r="O182">
            <v>2007.7920048456788</v>
          </cell>
        </row>
        <row r="183">
          <cell r="O183">
            <v>2007.7920048456788</v>
          </cell>
        </row>
        <row r="184">
          <cell r="O184">
            <v>2007.7920048456788</v>
          </cell>
        </row>
        <row r="185">
          <cell r="O185">
            <v>2007.7920048456788</v>
          </cell>
        </row>
        <row r="186">
          <cell r="O186">
            <v>2007.7920048456788</v>
          </cell>
        </row>
        <row r="187">
          <cell r="O187">
            <v>2007.7920048456788</v>
          </cell>
        </row>
        <row r="188">
          <cell r="O188">
            <v>2007.7920048456788</v>
          </cell>
        </row>
        <row r="189">
          <cell r="O189">
            <v>2007.7920048456788</v>
          </cell>
        </row>
        <row r="190">
          <cell r="O190">
            <v>2007.7920048456788</v>
          </cell>
        </row>
        <row r="191">
          <cell r="O191">
            <v>2007.7920048456788</v>
          </cell>
        </row>
        <row r="192">
          <cell r="O192">
            <v>2007.6858625918128</v>
          </cell>
        </row>
        <row r="193">
          <cell r="O193">
            <v>2007.6858625918128</v>
          </cell>
        </row>
        <row r="194">
          <cell r="O194">
            <v>2007.6858625918128</v>
          </cell>
        </row>
        <row r="195">
          <cell r="O195">
            <v>2007.6858625918128</v>
          </cell>
        </row>
        <row r="196">
          <cell r="O196">
            <v>2007.6858625918128</v>
          </cell>
        </row>
        <row r="197">
          <cell r="O197">
            <v>2007.6858625918128</v>
          </cell>
        </row>
        <row r="198">
          <cell r="O198">
            <v>2007.6858625918128</v>
          </cell>
        </row>
        <row r="199">
          <cell r="O199">
            <v>2007.6858625918128</v>
          </cell>
        </row>
        <row r="200">
          <cell r="O200">
            <v>2007.6858625918128</v>
          </cell>
        </row>
        <row r="201">
          <cell r="O201">
            <v>2007.6858625918128</v>
          </cell>
        </row>
        <row r="202">
          <cell r="O202">
            <v>2007.6858625918128</v>
          </cell>
        </row>
        <row r="203">
          <cell r="O203">
            <v>2007.6858625918128</v>
          </cell>
        </row>
        <row r="204">
          <cell r="O204">
            <v>2007.6858625918128</v>
          </cell>
        </row>
        <row r="205">
          <cell r="O205">
            <v>2007.6858625918128</v>
          </cell>
        </row>
        <row r="206">
          <cell r="O206">
            <v>2007.6858625918128</v>
          </cell>
        </row>
        <row r="207">
          <cell r="O207">
            <v>2007.6858625918128</v>
          </cell>
        </row>
        <row r="208">
          <cell r="O208">
            <v>2007.6858625918128</v>
          </cell>
        </row>
        <row r="209">
          <cell r="O209">
            <v>2007.4765942679937</v>
          </cell>
        </row>
        <row r="210">
          <cell r="O210">
            <v>2007.4765942679937</v>
          </cell>
        </row>
        <row r="211">
          <cell r="O211">
            <v>2007.4765942679937</v>
          </cell>
        </row>
        <row r="212">
          <cell r="O212">
            <v>2007.4765942679937</v>
          </cell>
        </row>
        <row r="213">
          <cell r="O213">
            <v>2007.4765942679937</v>
          </cell>
        </row>
        <row r="214">
          <cell r="O214">
            <v>2007.4765942679937</v>
          </cell>
        </row>
        <row r="215">
          <cell r="O215">
            <v>2007.4765942679937</v>
          </cell>
        </row>
        <row r="216">
          <cell r="O216">
            <v>2007.4765942679937</v>
          </cell>
        </row>
        <row r="217">
          <cell r="O217">
            <v>2007.4765942679937</v>
          </cell>
        </row>
        <row r="218">
          <cell r="O218">
            <v>2007.4765942679937</v>
          </cell>
        </row>
        <row r="219">
          <cell r="O219">
            <v>2007.4765942679937</v>
          </cell>
        </row>
        <row r="220">
          <cell r="O220">
            <v>2007.4765942679937</v>
          </cell>
        </row>
        <row r="221">
          <cell r="O221">
            <v>2007.4765942679937</v>
          </cell>
        </row>
        <row r="222">
          <cell r="O222">
            <v>2007.4765942679937</v>
          </cell>
        </row>
        <row r="223">
          <cell r="O223">
            <v>2007.4765942679937</v>
          </cell>
        </row>
        <row r="224">
          <cell r="O224">
            <v>2007.4765942679937</v>
          </cell>
        </row>
        <row r="225">
          <cell r="O225">
            <v>2007.4765942679937</v>
          </cell>
        </row>
        <row r="226">
          <cell r="O226">
            <v>2007.3958153788465</v>
          </cell>
        </row>
        <row r="227">
          <cell r="O227">
            <v>2007.3958153788465</v>
          </cell>
        </row>
        <row r="228">
          <cell r="O228">
            <v>2007.3958153788465</v>
          </cell>
        </row>
        <row r="229">
          <cell r="O229">
            <v>2007.3958153788465</v>
          </cell>
        </row>
        <row r="230">
          <cell r="O230">
            <v>2007.3958153788465</v>
          </cell>
        </row>
        <row r="231">
          <cell r="O231">
            <v>2007.3958153788465</v>
          </cell>
        </row>
        <row r="232">
          <cell r="O232">
            <v>2007.3958153788465</v>
          </cell>
        </row>
        <row r="233">
          <cell r="O233">
            <v>2007.3958153788465</v>
          </cell>
        </row>
        <row r="234">
          <cell r="O234">
            <v>2007.3958153788465</v>
          </cell>
        </row>
        <row r="235">
          <cell r="O235">
            <v>2007.3958153788465</v>
          </cell>
        </row>
        <row r="236">
          <cell r="O236">
            <v>2007.3958153788465</v>
          </cell>
        </row>
        <row r="237">
          <cell r="O237">
            <v>2007.3958153788465</v>
          </cell>
        </row>
        <row r="238">
          <cell r="O238">
            <v>2007.3958153788465</v>
          </cell>
        </row>
        <row r="239">
          <cell r="O239">
            <v>2007.3958153788465</v>
          </cell>
        </row>
        <row r="240">
          <cell r="O240">
            <v>2007.3958153788465</v>
          </cell>
        </row>
        <row r="241">
          <cell r="O241">
            <v>2007.3958153788465</v>
          </cell>
        </row>
      </sheetData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71826-C9F5-9D45-94A5-013E6FF48AC4}">
  <dimension ref="A1:AJ177"/>
  <sheetViews>
    <sheetView tabSelected="1" zoomScale="68" workbookViewId="0">
      <selection activeCell="AJ10" sqref="AJ10"/>
    </sheetView>
  </sheetViews>
  <sheetFormatPr baseColWidth="10" defaultRowHeight="15" x14ac:dyDescent="0.2"/>
  <cols>
    <col min="1" max="1" width="34.5" customWidth="1"/>
    <col min="5" max="5" width="22.6640625" customWidth="1"/>
    <col min="6" max="6" width="12" customWidth="1"/>
    <col min="10" max="10" width="20.5" customWidth="1"/>
    <col min="16" max="16" width="21.83203125" customWidth="1"/>
    <col min="24" max="24" width="12.6640625" customWidth="1"/>
    <col min="27" max="27" width="24" customWidth="1"/>
    <col min="28" max="28" width="22" customWidth="1"/>
    <col min="31" max="31" width="22" customWidth="1"/>
  </cols>
  <sheetData>
    <row r="1" spans="1:36" x14ac:dyDescent="0.2">
      <c r="A1" s="1" t="s">
        <v>0</v>
      </c>
      <c r="E1" s="2" t="s">
        <v>1</v>
      </c>
      <c r="F1" s="2"/>
      <c r="J1" s="2" t="s">
        <v>2</v>
      </c>
      <c r="P1" s="2" t="s">
        <v>3</v>
      </c>
      <c r="W1" s="2" t="s">
        <v>4</v>
      </c>
      <c r="X1" s="2" t="s">
        <v>5</v>
      </c>
      <c r="Y1" s="2" t="s">
        <v>6</v>
      </c>
      <c r="Z1" s="2"/>
      <c r="AA1" s="2" t="s">
        <v>7</v>
      </c>
      <c r="AB1" s="2" t="s">
        <v>8</v>
      </c>
      <c r="AE1" s="2" t="s">
        <v>9</v>
      </c>
    </row>
    <row r="2" spans="1:36" x14ac:dyDescent="0.2">
      <c r="W2" s="3">
        <v>2000</v>
      </c>
      <c r="X2" s="3">
        <v>478747</v>
      </c>
      <c r="Y2" s="3">
        <v>607076</v>
      </c>
      <c r="AA2" s="3">
        <v>59870</v>
      </c>
      <c r="AB2" s="3">
        <v>74159</v>
      </c>
      <c r="AE2" s="2" t="s">
        <v>10</v>
      </c>
      <c r="AF2" s="2" t="s">
        <v>11</v>
      </c>
      <c r="AG2" s="2" t="s">
        <v>12</v>
      </c>
      <c r="AH2" s="2" t="s">
        <v>13</v>
      </c>
      <c r="AI2" s="2" t="s">
        <v>14</v>
      </c>
      <c r="AJ2" s="2" t="s">
        <v>15</v>
      </c>
    </row>
    <row r="3" spans="1:36" x14ac:dyDescent="0.2">
      <c r="W3" s="3">
        <v>2000</v>
      </c>
      <c r="X3" s="3">
        <v>478747</v>
      </c>
      <c r="Y3" s="3">
        <v>607076</v>
      </c>
      <c r="AA3" s="3">
        <v>59869</v>
      </c>
      <c r="AB3" s="3">
        <v>76928</v>
      </c>
      <c r="AE3" t="s">
        <v>16</v>
      </c>
      <c r="AF3">
        <f>177-2</f>
        <v>175</v>
      </c>
      <c r="AG3">
        <f>AVERAGE(X2:X177)</f>
        <v>544116.90909090906</v>
      </c>
      <c r="AH3">
        <f>_xlfn.STDEV.S(X2:X177)</f>
        <v>34888.24000822752</v>
      </c>
      <c r="AI3">
        <f>MIN(X2:X177)</f>
        <v>478433</v>
      </c>
      <c r="AJ3">
        <f>MAX(X2:X177)</f>
        <v>566443</v>
      </c>
    </row>
    <row r="4" spans="1:36" x14ac:dyDescent="0.2">
      <c r="W4" s="3">
        <v>2000</v>
      </c>
      <c r="X4" s="3">
        <v>478747</v>
      </c>
      <c r="Y4" s="3">
        <v>607076</v>
      </c>
      <c r="AA4" s="3">
        <v>59869</v>
      </c>
      <c r="AB4" s="3">
        <v>76438</v>
      </c>
    </row>
    <row r="5" spans="1:36" x14ac:dyDescent="0.2">
      <c r="W5" s="3">
        <v>2000</v>
      </c>
      <c r="X5" s="3">
        <v>478747</v>
      </c>
      <c r="Y5" s="3">
        <v>607076</v>
      </c>
      <c r="AA5" s="3">
        <v>59870</v>
      </c>
      <c r="AB5" s="3">
        <v>77549</v>
      </c>
      <c r="AE5" s="2" t="s">
        <v>17</v>
      </c>
      <c r="AF5" s="2" t="s">
        <v>11</v>
      </c>
      <c r="AG5" s="2" t="s">
        <v>12</v>
      </c>
      <c r="AH5" s="2" t="s">
        <v>13</v>
      </c>
      <c r="AI5" s="2" t="s">
        <v>14</v>
      </c>
      <c r="AJ5" s="2" t="s">
        <v>15</v>
      </c>
    </row>
    <row r="6" spans="1:36" x14ac:dyDescent="0.2">
      <c r="W6" s="3">
        <v>2000</v>
      </c>
      <c r="X6" s="3">
        <v>478747</v>
      </c>
      <c r="Y6" s="3">
        <v>607076</v>
      </c>
      <c r="AA6" s="3">
        <v>59854</v>
      </c>
      <c r="AB6" s="3">
        <v>77813</v>
      </c>
      <c r="AE6" t="s">
        <v>18</v>
      </c>
      <c r="AF6" s="3">
        <v>175</v>
      </c>
      <c r="AG6">
        <f>AVERAGE(Y2:Y177)</f>
        <v>454420.40909090912</v>
      </c>
      <c r="AH6">
        <f>_xlfn.STDEV.S(Y2:Y177)</f>
        <v>87841.792599798311</v>
      </c>
      <c r="AI6">
        <f>MIN(Y2:Y177)</f>
        <v>288499</v>
      </c>
      <c r="AJ6">
        <f>MAX(Y2:Y177)</f>
        <v>607076</v>
      </c>
    </row>
    <row r="7" spans="1:36" x14ac:dyDescent="0.2">
      <c r="W7" s="3">
        <v>2000</v>
      </c>
      <c r="X7" s="3">
        <v>478747</v>
      </c>
      <c r="Y7" s="3">
        <v>607076</v>
      </c>
      <c r="AA7" s="3">
        <v>59869</v>
      </c>
      <c r="AB7" s="3">
        <v>74309</v>
      </c>
    </row>
    <row r="8" spans="1:36" x14ac:dyDescent="0.2">
      <c r="W8" s="3">
        <v>2000</v>
      </c>
      <c r="X8" s="3">
        <v>478747</v>
      </c>
      <c r="Y8" s="3">
        <v>607076</v>
      </c>
      <c r="AA8" s="3">
        <v>59854</v>
      </c>
      <c r="AB8" s="3">
        <v>77923</v>
      </c>
    </row>
    <row r="9" spans="1:36" x14ac:dyDescent="0.2">
      <c r="W9" s="3">
        <v>2000</v>
      </c>
      <c r="X9" s="3">
        <v>478747</v>
      </c>
      <c r="Y9" s="3">
        <v>607076</v>
      </c>
      <c r="AA9" s="3">
        <v>59692</v>
      </c>
      <c r="AB9" s="3">
        <v>71957</v>
      </c>
    </row>
    <row r="10" spans="1:36" x14ac:dyDescent="0.2">
      <c r="W10">
        <v>2001</v>
      </c>
      <c r="X10">
        <v>478433</v>
      </c>
      <c r="Y10">
        <v>601815</v>
      </c>
      <c r="AA10">
        <v>59523</v>
      </c>
      <c r="AB10">
        <v>77765</v>
      </c>
    </row>
    <row r="11" spans="1:36" x14ac:dyDescent="0.2">
      <c r="W11">
        <v>2001</v>
      </c>
      <c r="X11">
        <v>478433</v>
      </c>
      <c r="Y11">
        <v>601815</v>
      </c>
      <c r="AA11">
        <v>59771</v>
      </c>
      <c r="AB11">
        <v>76940</v>
      </c>
    </row>
    <row r="12" spans="1:36" x14ac:dyDescent="0.2">
      <c r="W12">
        <v>2001</v>
      </c>
      <c r="X12">
        <v>478433</v>
      </c>
      <c r="Y12">
        <v>601815</v>
      </c>
      <c r="AA12">
        <v>59866</v>
      </c>
      <c r="AB12">
        <v>69343</v>
      </c>
    </row>
    <row r="13" spans="1:36" x14ac:dyDescent="0.2">
      <c r="W13">
        <v>2001</v>
      </c>
      <c r="X13">
        <v>478433</v>
      </c>
      <c r="Y13">
        <v>601815</v>
      </c>
      <c r="AA13">
        <v>59861</v>
      </c>
      <c r="AB13">
        <v>74268</v>
      </c>
    </row>
    <row r="14" spans="1:36" x14ac:dyDescent="0.2">
      <c r="W14">
        <v>2001</v>
      </c>
      <c r="X14">
        <v>478433</v>
      </c>
      <c r="Y14">
        <v>601815</v>
      </c>
      <c r="AA14">
        <v>59849</v>
      </c>
      <c r="AB14">
        <v>77730</v>
      </c>
    </row>
    <row r="15" spans="1:36" x14ac:dyDescent="0.2">
      <c r="W15">
        <v>2001</v>
      </c>
      <c r="X15">
        <v>478433</v>
      </c>
      <c r="Y15">
        <v>601815</v>
      </c>
      <c r="AA15">
        <v>59869</v>
      </c>
      <c r="AB15">
        <v>72190</v>
      </c>
    </row>
    <row r="16" spans="1:36" x14ac:dyDescent="0.2">
      <c r="W16">
        <v>2001</v>
      </c>
      <c r="X16">
        <v>478433</v>
      </c>
      <c r="Y16">
        <v>601815</v>
      </c>
      <c r="AA16">
        <v>59824</v>
      </c>
      <c r="AB16">
        <v>76067</v>
      </c>
    </row>
    <row r="17" spans="23:28" x14ac:dyDescent="0.2">
      <c r="W17">
        <v>2001</v>
      </c>
      <c r="X17">
        <v>478433</v>
      </c>
      <c r="Y17">
        <v>601815</v>
      </c>
      <c r="AA17">
        <v>59870</v>
      </c>
      <c r="AB17">
        <v>77512</v>
      </c>
    </row>
    <row r="18" spans="23:28" x14ac:dyDescent="0.2">
      <c r="W18">
        <v>2002</v>
      </c>
      <c r="X18">
        <v>508788</v>
      </c>
      <c r="Y18">
        <v>489742</v>
      </c>
      <c r="AA18">
        <v>63127</v>
      </c>
      <c r="AB18">
        <v>61505</v>
      </c>
    </row>
    <row r="19" spans="23:28" x14ac:dyDescent="0.2">
      <c r="W19">
        <v>2002</v>
      </c>
      <c r="X19">
        <v>508788</v>
      </c>
      <c r="Y19">
        <v>489742</v>
      </c>
      <c r="AA19">
        <v>63329</v>
      </c>
      <c r="AB19">
        <v>60023</v>
      </c>
    </row>
    <row r="20" spans="23:28" x14ac:dyDescent="0.2">
      <c r="W20">
        <v>2002</v>
      </c>
      <c r="X20">
        <v>508788</v>
      </c>
      <c r="Y20">
        <v>489742</v>
      </c>
      <c r="AA20">
        <v>63363</v>
      </c>
      <c r="AB20">
        <v>60421</v>
      </c>
    </row>
    <row r="21" spans="23:28" x14ac:dyDescent="0.2">
      <c r="W21">
        <v>2002</v>
      </c>
      <c r="X21">
        <v>508788</v>
      </c>
      <c r="Y21">
        <v>489742</v>
      </c>
      <c r="AA21">
        <v>63284</v>
      </c>
      <c r="AB21">
        <v>61789</v>
      </c>
    </row>
    <row r="22" spans="23:28" x14ac:dyDescent="0.2">
      <c r="W22">
        <v>2002</v>
      </c>
      <c r="X22">
        <v>508788</v>
      </c>
      <c r="Y22">
        <v>489742</v>
      </c>
      <c r="AA22">
        <v>63313</v>
      </c>
      <c r="AB22">
        <v>61720</v>
      </c>
    </row>
    <row r="23" spans="23:28" x14ac:dyDescent="0.2">
      <c r="W23">
        <v>2002</v>
      </c>
      <c r="X23">
        <v>508788</v>
      </c>
      <c r="Y23">
        <v>489742</v>
      </c>
      <c r="AA23">
        <v>64196</v>
      </c>
      <c r="AB23">
        <v>62109</v>
      </c>
    </row>
    <row r="24" spans="23:28" x14ac:dyDescent="0.2">
      <c r="W24">
        <v>2002</v>
      </c>
      <c r="X24">
        <v>508788</v>
      </c>
      <c r="Y24">
        <v>489742</v>
      </c>
      <c r="AA24">
        <v>64070</v>
      </c>
      <c r="AB24">
        <v>61942</v>
      </c>
    </row>
    <row r="25" spans="23:28" x14ac:dyDescent="0.2">
      <c r="W25">
        <v>2002</v>
      </c>
      <c r="X25">
        <v>508788</v>
      </c>
      <c r="Y25">
        <v>489742</v>
      </c>
      <c r="AA25">
        <v>64106</v>
      </c>
      <c r="AB25">
        <v>60233</v>
      </c>
    </row>
    <row r="26" spans="23:28" x14ac:dyDescent="0.2">
      <c r="W26">
        <v>2003</v>
      </c>
      <c r="X26">
        <v>562819</v>
      </c>
      <c r="Y26">
        <v>490442</v>
      </c>
      <c r="AA26">
        <v>70505</v>
      </c>
      <c r="AB26">
        <v>60691</v>
      </c>
    </row>
    <row r="27" spans="23:28" x14ac:dyDescent="0.2">
      <c r="W27">
        <v>2003</v>
      </c>
      <c r="X27">
        <v>562819</v>
      </c>
      <c r="Y27">
        <v>490442</v>
      </c>
      <c r="AA27">
        <v>70244</v>
      </c>
      <c r="AB27">
        <v>60865</v>
      </c>
    </row>
    <row r="28" spans="23:28" x14ac:dyDescent="0.2">
      <c r="W28">
        <v>2003</v>
      </c>
      <c r="X28">
        <v>562819</v>
      </c>
      <c r="Y28">
        <v>490442</v>
      </c>
      <c r="AA28">
        <v>70365</v>
      </c>
      <c r="AB28">
        <v>61160</v>
      </c>
    </row>
    <row r="29" spans="23:28" x14ac:dyDescent="0.2">
      <c r="W29">
        <v>2003</v>
      </c>
      <c r="X29">
        <v>562819</v>
      </c>
      <c r="Y29">
        <v>490442</v>
      </c>
      <c r="AA29">
        <v>70407</v>
      </c>
      <c r="AB29">
        <v>61561</v>
      </c>
    </row>
    <row r="30" spans="23:28" x14ac:dyDescent="0.2">
      <c r="W30">
        <v>2003</v>
      </c>
      <c r="X30">
        <v>562819</v>
      </c>
      <c r="Y30">
        <v>490442</v>
      </c>
      <c r="AA30">
        <v>70291</v>
      </c>
      <c r="AB30">
        <v>61492</v>
      </c>
    </row>
    <row r="31" spans="23:28" x14ac:dyDescent="0.2">
      <c r="W31">
        <v>2003</v>
      </c>
      <c r="X31">
        <v>562819</v>
      </c>
      <c r="Y31">
        <v>490442</v>
      </c>
      <c r="AA31">
        <v>70250</v>
      </c>
      <c r="AB31">
        <v>62123</v>
      </c>
    </row>
    <row r="32" spans="23:28" x14ac:dyDescent="0.2">
      <c r="W32">
        <v>2003</v>
      </c>
      <c r="X32">
        <v>562819</v>
      </c>
      <c r="Y32">
        <v>490442</v>
      </c>
      <c r="AA32">
        <v>70458</v>
      </c>
      <c r="AB32">
        <v>61544</v>
      </c>
    </row>
    <row r="33" spans="23:28" x14ac:dyDescent="0.2">
      <c r="W33">
        <v>2003</v>
      </c>
      <c r="X33">
        <v>562819</v>
      </c>
      <c r="Y33">
        <v>490442</v>
      </c>
      <c r="AA33">
        <v>70299</v>
      </c>
      <c r="AB33">
        <v>61006</v>
      </c>
    </row>
    <row r="34" spans="23:28" x14ac:dyDescent="0.2">
      <c r="W34">
        <v>2004</v>
      </c>
      <c r="X34">
        <v>564400</v>
      </c>
      <c r="Y34">
        <v>499162</v>
      </c>
      <c r="AA34">
        <v>70688</v>
      </c>
      <c r="AB34">
        <v>61465</v>
      </c>
    </row>
    <row r="35" spans="23:28" x14ac:dyDescent="0.2">
      <c r="W35">
        <v>2004</v>
      </c>
      <c r="X35">
        <v>564400</v>
      </c>
      <c r="Y35">
        <v>499162</v>
      </c>
      <c r="AA35">
        <v>70623</v>
      </c>
      <c r="AB35">
        <v>62472</v>
      </c>
    </row>
    <row r="36" spans="23:28" x14ac:dyDescent="0.2">
      <c r="W36">
        <v>2004</v>
      </c>
      <c r="X36">
        <v>564400</v>
      </c>
      <c r="Y36">
        <v>499162</v>
      </c>
      <c r="AA36">
        <v>70420</v>
      </c>
      <c r="AB36">
        <v>62938</v>
      </c>
    </row>
    <row r="37" spans="23:28" x14ac:dyDescent="0.2">
      <c r="W37">
        <v>2004</v>
      </c>
      <c r="X37">
        <v>564400</v>
      </c>
      <c r="Y37">
        <v>499162</v>
      </c>
      <c r="AA37">
        <v>70679</v>
      </c>
      <c r="AB37">
        <v>62657</v>
      </c>
    </row>
    <row r="38" spans="23:28" x14ac:dyDescent="0.2">
      <c r="W38">
        <v>2004</v>
      </c>
      <c r="X38">
        <v>564400</v>
      </c>
      <c r="Y38">
        <v>499162</v>
      </c>
      <c r="AA38">
        <v>70671</v>
      </c>
      <c r="AB38">
        <v>63107</v>
      </c>
    </row>
    <row r="39" spans="23:28" x14ac:dyDescent="0.2">
      <c r="W39">
        <v>2004</v>
      </c>
      <c r="X39">
        <v>564400</v>
      </c>
      <c r="Y39">
        <v>499162</v>
      </c>
      <c r="AA39">
        <v>70385</v>
      </c>
      <c r="AB39">
        <v>62262</v>
      </c>
    </row>
    <row r="40" spans="23:28" x14ac:dyDescent="0.2">
      <c r="W40">
        <v>2004</v>
      </c>
      <c r="X40">
        <v>564400</v>
      </c>
      <c r="Y40">
        <v>499162</v>
      </c>
      <c r="AA40">
        <v>70497</v>
      </c>
      <c r="AB40">
        <v>62337</v>
      </c>
    </row>
    <row r="41" spans="23:28" x14ac:dyDescent="0.2">
      <c r="W41">
        <v>2004</v>
      </c>
      <c r="X41">
        <v>564400</v>
      </c>
      <c r="Y41">
        <v>499162</v>
      </c>
      <c r="AA41">
        <v>70437</v>
      </c>
      <c r="AB41">
        <v>61924</v>
      </c>
    </row>
    <row r="42" spans="23:28" x14ac:dyDescent="0.2">
      <c r="W42" s="3">
        <v>2005</v>
      </c>
      <c r="X42" s="3">
        <v>562419</v>
      </c>
      <c r="Y42" s="3">
        <v>492580</v>
      </c>
      <c r="AA42" s="3">
        <v>70400</v>
      </c>
      <c r="AB42" s="3">
        <v>61877</v>
      </c>
    </row>
    <row r="43" spans="23:28" x14ac:dyDescent="0.2">
      <c r="W43" s="3">
        <v>2005</v>
      </c>
      <c r="X43" s="3">
        <v>562419</v>
      </c>
      <c r="Y43" s="3">
        <v>492580</v>
      </c>
      <c r="AA43" s="3">
        <v>70518</v>
      </c>
      <c r="AB43" s="3">
        <v>61201</v>
      </c>
    </row>
    <row r="44" spans="23:28" x14ac:dyDescent="0.2">
      <c r="W44" s="3">
        <v>2005</v>
      </c>
      <c r="X44" s="3">
        <v>562419</v>
      </c>
      <c r="Y44" s="3">
        <v>492580</v>
      </c>
      <c r="AA44" s="3">
        <v>70580</v>
      </c>
      <c r="AB44" s="3">
        <v>61083</v>
      </c>
    </row>
    <row r="45" spans="23:28" x14ac:dyDescent="0.2">
      <c r="W45" s="3">
        <v>2005</v>
      </c>
      <c r="X45" s="3">
        <v>562419</v>
      </c>
      <c r="Y45" s="3">
        <v>492580</v>
      </c>
      <c r="AA45" s="3">
        <v>70607</v>
      </c>
      <c r="AB45" s="3">
        <v>61814</v>
      </c>
    </row>
    <row r="46" spans="23:28" x14ac:dyDescent="0.2">
      <c r="W46" s="3">
        <v>2005</v>
      </c>
      <c r="X46" s="3">
        <v>562419</v>
      </c>
      <c r="Y46" s="3">
        <v>492580</v>
      </c>
      <c r="AA46" s="3">
        <v>70610</v>
      </c>
      <c r="AB46" s="3">
        <v>61091</v>
      </c>
    </row>
    <row r="47" spans="23:28" x14ac:dyDescent="0.2">
      <c r="W47" s="3">
        <v>2005</v>
      </c>
      <c r="X47" s="3">
        <v>562419</v>
      </c>
      <c r="Y47" s="3">
        <v>492580</v>
      </c>
      <c r="AA47" s="3">
        <v>70019</v>
      </c>
      <c r="AB47" s="3">
        <v>62390</v>
      </c>
    </row>
    <row r="48" spans="23:28" x14ac:dyDescent="0.2">
      <c r="W48" s="3">
        <v>2005</v>
      </c>
      <c r="X48" s="3">
        <v>562419</v>
      </c>
      <c r="Y48" s="3">
        <v>492580</v>
      </c>
      <c r="AA48" s="3">
        <v>69757</v>
      </c>
      <c r="AB48" s="3">
        <v>61375</v>
      </c>
    </row>
    <row r="49" spans="23:28" x14ac:dyDescent="0.2">
      <c r="W49" s="3">
        <v>2005</v>
      </c>
      <c r="X49" s="3">
        <v>562419</v>
      </c>
      <c r="Y49" s="3">
        <v>492580</v>
      </c>
      <c r="AA49" s="3">
        <v>69928</v>
      </c>
      <c r="AB49" s="3">
        <v>61749</v>
      </c>
    </row>
    <row r="50" spans="23:28" x14ac:dyDescent="0.2">
      <c r="W50">
        <v>2006</v>
      </c>
      <c r="X50">
        <v>565749</v>
      </c>
      <c r="Y50">
        <v>487116</v>
      </c>
      <c r="AA50">
        <v>70918</v>
      </c>
      <c r="AB50">
        <v>60535</v>
      </c>
    </row>
    <row r="51" spans="23:28" x14ac:dyDescent="0.2">
      <c r="W51">
        <v>2006</v>
      </c>
      <c r="X51">
        <v>565749</v>
      </c>
      <c r="Y51">
        <v>487116</v>
      </c>
      <c r="AA51">
        <v>70602</v>
      </c>
      <c r="AB51">
        <v>61095</v>
      </c>
    </row>
    <row r="52" spans="23:28" x14ac:dyDescent="0.2">
      <c r="W52">
        <v>2006</v>
      </c>
      <c r="X52">
        <v>565749</v>
      </c>
      <c r="Y52">
        <v>487116</v>
      </c>
      <c r="AA52">
        <v>70804</v>
      </c>
      <c r="AB52">
        <v>60704</v>
      </c>
    </row>
    <row r="53" spans="23:28" x14ac:dyDescent="0.2">
      <c r="W53">
        <v>2006</v>
      </c>
      <c r="X53">
        <v>565749</v>
      </c>
      <c r="Y53">
        <v>487116</v>
      </c>
      <c r="AA53">
        <v>70809</v>
      </c>
      <c r="AB53">
        <v>60987</v>
      </c>
    </row>
    <row r="54" spans="23:28" x14ac:dyDescent="0.2">
      <c r="W54">
        <v>2006</v>
      </c>
      <c r="X54">
        <v>565749</v>
      </c>
      <c r="Y54">
        <v>487116</v>
      </c>
      <c r="AA54">
        <v>70753</v>
      </c>
      <c r="AB54">
        <v>60707</v>
      </c>
    </row>
    <row r="55" spans="23:28" x14ac:dyDescent="0.2">
      <c r="W55">
        <v>2006</v>
      </c>
      <c r="X55">
        <v>565749</v>
      </c>
      <c r="Y55">
        <v>487116</v>
      </c>
      <c r="AA55">
        <v>70527</v>
      </c>
      <c r="AB55">
        <v>61562</v>
      </c>
    </row>
    <row r="56" spans="23:28" x14ac:dyDescent="0.2">
      <c r="W56">
        <v>2006</v>
      </c>
      <c r="X56">
        <v>565749</v>
      </c>
      <c r="Y56">
        <v>487116</v>
      </c>
      <c r="AA56">
        <v>70472</v>
      </c>
      <c r="AB56">
        <v>60861</v>
      </c>
    </row>
    <row r="57" spans="23:28" x14ac:dyDescent="0.2">
      <c r="W57">
        <v>2006</v>
      </c>
      <c r="X57">
        <v>565749</v>
      </c>
      <c r="Y57">
        <v>487116</v>
      </c>
      <c r="AA57">
        <v>70864</v>
      </c>
      <c r="AB57">
        <v>60665</v>
      </c>
    </row>
    <row r="58" spans="23:28" x14ac:dyDescent="0.2">
      <c r="W58">
        <v>2007</v>
      </c>
      <c r="X58">
        <v>566443</v>
      </c>
      <c r="Y58" s="3">
        <v>490436</v>
      </c>
      <c r="AA58">
        <v>70598</v>
      </c>
      <c r="AB58" s="3">
        <v>61771</v>
      </c>
    </row>
    <row r="59" spans="23:28" x14ac:dyDescent="0.2">
      <c r="W59">
        <v>2007</v>
      </c>
      <c r="X59">
        <v>566443</v>
      </c>
      <c r="Y59" s="3">
        <v>490436</v>
      </c>
      <c r="AA59">
        <v>70733</v>
      </c>
      <c r="AB59" s="3">
        <v>60811</v>
      </c>
    </row>
    <row r="60" spans="23:28" x14ac:dyDescent="0.2">
      <c r="W60">
        <v>2007</v>
      </c>
      <c r="X60">
        <v>566443</v>
      </c>
      <c r="Y60" s="3">
        <v>490436</v>
      </c>
      <c r="AA60">
        <v>70904</v>
      </c>
      <c r="AB60" s="3">
        <v>60442</v>
      </c>
    </row>
    <row r="61" spans="23:28" x14ac:dyDescent="0.2">
      <c r="W61">
        <v>2007</v>
      </c>
      <c r="X61">
        <v>566443</v>
      </c>
      <c r="Y61" s="3">
        <v>490436</v>
      </c>
      <c r="AA61">
        <v>70761</v>
      </c>
      <c r="AB61" s="3">
        <v>60783</v>
      </c>
    </row>
    <row r="62" spans="23:28" x14ac:dyDescent="0.2">
      <c r="W62">
        <v>2007</v>
      </c>
      <c r="X62">
        <v>566443</v>
      </c>
      <c r="Y62" s="3">
        <v>490436</v>
      </c>
      <c r="AA62">
        <v>70945</v>
      </c>
      <c r="AB62" s="3">
        <v>60675</v>
      </c>
    </row>
    <row r="63" spans="23:28" x14ac:dyDescent="0.2">
      <c r="W63">
        <v>2007</v>
      </c>
      <c r="X63">
        <v>566443</v>
      </c>
      <c r="Y63" s="3">
        <v>490436</v>
      </c>
      <c r="AA63">
        <v>70805</v>
      </c>
      <c r="AB63" s="3">
        <v>63257</v>
      </c>
    </row>
    <row r="64" spans="23:28" x14ac:dyDescent="0.2">
      <c r="W64">
        <v>2007</v>
      </c>
      <c r="X64">
        <v>566443</v>
      </c>
      <c r="Y64" s="3">
        <v>490436</v>
      </c>
      <c r="AA64">
        <v>70828</v>
      </c>
      <c r="AB64" s="3">
        <v>62759</v>
      </c>
    </row>
    <row r="65" spans="23:28" x14ac:dyDescent="0.2">
      <c r="W65">
        <v>2007</v>
      </c>
      <c r="X65">
        <v>566443</v>
      </c>
      <c r="Y65" s="3">
        <v>490436</v>
      </c>
      <c r="AA65">
        <v>70869</v>
      </c>
      <c r="AB65" s="3">
        <v>59938</v>
      </c>
    </row>
    <row r="66" spans="23:28" x14ac:dyDescent="0.2">
      <c r="W66">
        <v>2008</v>
      </c>
      <c r="X66">
        <v>565460</v>
      </c>
      <c r="Y66">
        <v>435979</v>
      </c>
      <c r="AA66">
        <v>71004</v>
      </c>
      <c r="AB66">
        <v>60285</v>
      </c>
    </row>
    <row r="67" spans="23:28" x14ac:dyDescent="0.2">
      <c r="W67">
        <v>2008</v>
      </c>
      <c r="X67">
        <v>565460</v>
      </c>
      <c r="Y67">
        <v>435979</v>
      </c>
      <c r="AA67">
        <v>71113</v>
      </c>
      <c r="AB67">
        <v>59790</v>
      </c>
    </row>
    <row r="68" spans="23:28" x14ac:dyDescent="0.2">
      <c r="W68">
        <v>2008</v>
      </c>
      <c r="X68">
        <v>565460</v>
      </c>
      <c r="Y68">
        <v>435979</v>
      </c>
      <c r="AA68">
        <v>70610</v>
      </c>
      <c r="AB68">
        <v>54312</v>
      </c>
    </row>
    <row r="69" spans="23:28" x14ac:dyDescent="0.2">
      <c r="W69">
        <v>2008</v>
      </c>
      <c r="X69">
        <v>565460</v>
      </c>
      <c r="Y69">
        <v>435979</v>
      </c>
      <c r="AA69">
        <v>71010</v>
      </c>
      <c r="AB69">
        <v>52631</v>
      </c>
    </row>
    <row r="70" spans="23:28" x14ac:dyDescent="0.2">
      <c r="W70">
        <v>2008</v>
      </c>
      <c r="X70">
        <v>565460</v>
      </c>
      <c r="Y70">
        <v>435979</v>
      </c>
      <c r="AA70">
        <v>71040</v>
      </c>
      <c r="AB70">
        <v>49096</v>
      </c>
    </row>
    <row r="71" spans="23:28" x14ac:dyDescent="0.2">
      <c r="W71">
        <v>2008</v>
      </c>
      <c r="X71">
        <v>565460</v>
      </c>
      <c r="Y71">
        <v>435979</v>
      </c>
      <c r="AA71">
        <v>70297</v>
      </c>
      <c r="AB71">
        <v>60112</v>
      </c>
    </row>
    <row r="72" spans="23:28" x14ac:dyDescent="0.2">
      <c r="W72">
        <v>2008</v>
      </c>
      <c r="X72">
        <v>565460</v>
      </c>
      <c r="Y72">
        <v>435979</v>
      </c>
      <c r="AA72">
        <v>70245</v>
      </c>
      <c r="AB72">
        <v>50444</v>
      </c>
    </row>
    <row r="73" spans="23:28" x14ac:dyDescent="0.2">
      <c r="W73">
        <v>2008</v>
      </c>
      <c r="X73">
        <v>565460</v>
      </c>
      <c r="Y73">
        <v>435979</v>
      </c>
      <c r="AA73">
        <v>70141</v>
      </c>
      <c r="AB73">
        <v>49309</v>
      </c>
    </row>
    <row r="74" spans="23:28" x14ac:dyDescent="0.2">
      <c r="W74">
        <v>2009</v>
      </c>
      <c r="X74">
        <v>565666</v>
      </c>
      <c r="Y74">
        <v>395162</v>
      </c>
      <c r="AA74">
        <v>70920</v>
      </c>
      <c r="AB74">
        <v>56269</v>
      </c>
    </row>
    <row r="75" spans="23:28" x14ac:dyDescent="0.2">
      <c r="W75">
        <v>2009</v>
      </c>
      <c r="X75">
        <v>565666</v>
      </c>
      <c r="Y75">
        <v>395162</v>
      </c>
      <c r="AA75">
        <v>70678</v>
      </c>
      <c r="AB75">
        <v>40896</v>
      </c>
    </row>
    <row r="76" spans="23:28" x14ac:dyDescent="0.2">
      <c r="W76">
        <v>2009</v>
      </c>
      <c r="X76">
        <v>565666</v>
      </c>
      <c r="Y76">
        <v>395162</v>
      </c>
      <c r="AA76">
        <v>70801</v>
      </c>
      <c r="AB76">
        <v>59333</v>
      </c>
    </row>
    <row r="77" spans="23:28" x14ac:dyDescent="0.2">
      <c r="W77">
        <v>2009</v>
      </c>
      <c r="X77">
        <v>565666</v>
      </c>
      <c r="Y77">
        <v>395162</v>
      </c>
      <c r="AA77">
        <v>71213</v>
      </c>
      <c r="AB77">
        <v>40857</v>
      </c>
    </row>
    <row r="78" spans="23:28" x14ac:dyDescent="0.2">
      <c r="W78">
        <v>2009</v>
      </c>
      <c r="X78">
        <v>565666</v>
      </c>
      <c r="Y78">
        <v>395162</v>
      </c>
      <c r="AA78">
        <v>70894</v>
      </c>
      <c r="AB78">
        <v>43170</v>
      </c>
    </row>
    <row r="79" spans="23:28" x14ac:dyDescent="0.2">
      <c r="W79">
        <v>2009</v>
      </c>
      <c r="X79">
        <v>565666</v>
      </c>
      <c r="Y79">
        <v>395162</v>
      </c>
      <c r="AA79">
        <v>70445</v>
      </c>
      <c r="AB79">
        <v>57383</v>
      </c>
    </row>
    <row r="80" spans="23:28" x14ac:dyDescent="0.2">
      <c r="W80">
        <v>2009</v>
      </c>
      <c r="X80">
        <v>565666</v>
      </c>
      <c r="Y80">
        <v>395162</v>
      </c>
      <c r="AA80">
        <v>70286</v>
      </c>
      <c r="AB80">
        <v>40577</v>
      </c>
    </row>
    <row r="81" spans="23:28" x14ac:dyDescent="0.2">
      <c r="W81">
        <v>2009</v>
      </c>
      <c r="X81">
        <v>565666</v>
      </c>
      <c r="Y81">
        <v>395162</v>
      </c>
      <c r="AA81">
        <v>70429</v>
      </c>
      <c r="AB81">
        <v>56677</v>
      </c>
    </row>
    <row r="82" spans="23:28" x14ac:dyDescent="0.2">
      <c r="W82">
        <v>2010</v>
      </c>
      <c r="X82">
        <v>566362</v>
      </c>
      <c r="Y82">
        <v>450286</v>
      </c>
      <c r="AA82">
        <v>70741</v>
      </c>
      <c r="AB82">
        <v>56688</v>
      </c>
    </row>
    <row r="83" spans="23:28" x14ac:dyDescent="0.2">
      <c r="W83">
        <v>2010</v>
      </c>
      <c r="X83">
        <v>566362</v>
      </c>
      <c r="Y83">
        <v>450286</v>
      </c>
      <c r="AA83">
        <v>70729</v>
      </c>
      <c r="AB83">
        <v>55714</v>
      </c>
    </row>
    <row r="84" spans="23:28" x14ac:dyDescent="0.2">
      <c r="W84">
        <v>2010</v>
      </c>
      <c r="X84">
        <v>566362</v>
      </c>
      <c r="Y84">
        <v>450286</v>
      </c>
      <c r="AA84">
        <v>70815</v>
      </c>
      <c r="AB84">
        <v>46329</v>
      </c>
    </row>
    <row r="85" spans="23:28" x14ac:dyDescent="0.2">
      <c r="W85">
        <v>2010</v>
      </c>
      <c r="X85">
        <v>566362</v>
      </c>
      <c r="Y85">
        <v>450286</v>
      </c>
      <c r="AA85">
        <v>71107</v>
      </c>
      <c r="AB85">
        <v>57799</v>
      </c>
    </row>
    <row r="86" spans="23:28" x14ac:dyDescent="0.2">
      <c r="W86">
        <v>2010</v>
      </c>
      <c r="X86">
        <v>566362</v>
      </c>
      <c r="Y86">
        <v>450286</v>
      </c>
      <c r="AA86">
        <v>70913</v>
      </c>
      <c r="AB86">
        <v>60965</v>
      </c>
    </row>
    <row r="87" spans="23:28" x14ac:dyDescent="0.2">
      <c r="W87">
        <v>2010</v>
      </c>
      <c r="X87">
        <v>566362</v>
      </c>
      <c r="Y87">
        <v>450286</v>
      </c>
      <c r="AA87">
        <v>70575</v>
      </c>
      <c r="AB87">
        <v>58119</v>
      </c>
    </row>
    <row r="88" spans="23:28" x14ac:dyDescent="0.2">
      <c r="W88">
        <v>2010</v>
      </c>
      <c r="X88">
        <v>566362</v>
      </c>
      <c r="Y88">
        <v>450286</v>
      </c>
      <c r="AA88">
        <v>70649</v>
      </c>
      <c r="AB88">
        <v>57659</v>
      </c>
    </row>
    <row r="89" spans="23:28" x14ac:dyDescent="0.2">
      <c r="W89">
        <v>2010</v>
      </c>
      <c r="X89">
        <v>566362</v>
      </c>
      <c r="Y89">
        <v>450286</v>
      </c>
      <c r="AA89">
        <v>70833</v>
      </c>
      <c r="AB89">
        <v>57013</v>
      </c>
    </row>
    <row r="90" spans="23:28" x14ac:dyDescent="0.2">
      <c r="W90" s="3">
        <v>2000</v>
      </c>
      <c r="X90" s="3">
        <v>478747</v>
      </c>
      <c r="Y90">
        <v>387475</v>
      </c>
      <c r="AA90" s="3">
        <v>59870</v>
      </c>
      <c r="AB90">
        <v>66009</v>
      </c>
    </row>
    <row r="91" spans="23:28" x14ac:dyDescent="0.2">
      <c r="W91" s="3">
        <v>2000</v>
      </c>
      <c r="X91" s="3">
        <v>478747</v>
      </c>
      <c r="Y91">
        <v>387475</v>
      </c>
      <c r="AA91" s="3">
        <v>59869</v>
      </c>
      <c r="AB91">
        <v>71801</v>
      </c>
    </row>
    <row r="92" spans="23:28" x14ac:dyDescent="0.2">
      <c r="W92" s="3">
        <v>2000</v>
      </c>
      <c r="X92" s="3">
        <v>478747</v>
      </c>
      <c r="Y92">
        <v>387475</v>
      </c>
      <c r="AA92" s="3">
        <v>59869</v>
      </c>
      <c r="AB92">
        <v>44296</v>
      </c>
    </row>
    <row r="93" spans="23:28" x14ac:dyDescent="0.2">
      <c r="W93" s="3">
        <v>2000</v>
      </c>
      <c r="X93" s="3">
        <v>478747</v>
      </c>
      <c r="Y93">
        <v>387475</v>
      </c>
      <c r="AA93" s="3">
        <v>59870</v>
      </c>
      <c r="AB93">
        <v>38293</v>
      </c>
    </row>
    <row r="94" spans="23:28" x14ac:dyDescent="0.2">
      <c r="W94" s="3">
        <v>2000</v>
      </c>
      <c r="X94" s="3">
        <v>478747</v>
      </c>
      <c r="Y94">
        <v>387475</v>
      </c>
      <c r="AA94" s="3">
        <v>59854</v>
      </c>
      <c r="AB94">
        <v>35286</v>
      </c>
    </row>
    <row r="95" spans="23:28" x14ac:dyDescent="0.2">
      <c r="W95" s="3">
        <v>2000</v>
      </c>
      <c r="X95" s="3">
        <v>478747</v>
      </c>
      <c r="Y95">
        <v>387475</v>
      </c>
      <c r="AA95" s="3">
        <v>59869</v>
      </c>
      <c r="AB95">
        <v>52244</v>
      </c>
    </row>
    <row r="96" spans="23:28" x14ac:dyDescent="0.2">
      <c r="W96" s="3">
        <v>2000</v>
      </c>
      <c r="X96" s="3">
        <v>478747</v>
      </c>
      <c r="Y96">
        <v>387475</v>
      </c>
      <c r="AA96" s="3">
        <v>59854</v>
      </c>
      <c r="AB96">
        <v>42094</v>
      </c>
    </row>
    <row r="97" spans="23:28" x14ac:dyDescent="0.2">
      <c r="W97" s="3">
        <v>2000</v>
      </c>
      <c r="X97" s="3">
        <v>478747</v>
      </c>
      <c r="Y97">
        <v>387475</v>
      </c>
      <c r="AA97" s="3">
        <v>59692</v>
      </c>
      <c r="AB97">
        <v>37452</v>
      </c>
    </row>
    <row r="98" spans="23:28" x14ac:dyDescent="0.2">
      <c r="W98">
        <v>2001</v>
      </c>
      <c r="X98">
        <v>478433</v>
      </c>
      <c r="Y98" s="3">
        <v>307315</v>
      </c>
      <c r="AA98">
        <v>59523</v>
      </c>
      <c r="AB98" s="3">
        <v>50913</v>
      </c>
    </row>
    <row r="99" spans="23:28" x14ac:dyDescent="0.2">
      <c r="W99">
        <v>2001</v>
      </c>
      <c r="X99">
        <v>478433</v>
      </c>
      <c r="Y99" s="3">
        <v>307315</v>
      </c>
      <c r="AA99">
        <v>59771</v>
      </c>
      <c r="AB99" s="3">
        <v>28878</v>
      </c>
    </row>
    <row r="100" spans="23:28" x14ac:dyDescent="0.2">
      <c r="W100">
        <v>2001</v>
      </c>
      <c r="X100">
        <v>478433</v>
      </c>
      <c r="Y100" s="3">
        <v>307315</v>
      </c>
      <c r="AA100">
        <v>59866</v>
      </c>
      <c r="AB100" s="3">
        <v>35916</v>
      </c>
    </row>
    <row r="101" spans="23:28" x14ac:dyDescent="0.2">
      <c r="W101">
        <v>2001</v>
      </c>
      <c r="X101">
        <v>478433</v>
      </c>
      <c r="Y101" s="3">
        <v>307315</v>
      </c>
      <c r="AA101">
        <v>59861</v>
      </c>
      <c r="AB101" s="3">
        <v>33430</v>
      </c>
    </row>
    <row r="102" spans="23:28" x14ac:dyDescent="0.2">
      <c r="W102">
        <v>2001</v>
      </c>
      <c r="X102">
        <v>478433</v>
      </c>
      <c r="Y102" s="3">
        <v>307315</v>
      </c>
      <c r="AA102">
        <v>59849</v>
      </c>
      <c r="AB102" s="3">
        <v>36917</v>
      </c>
    </row>
    <row r="103" spans="23:28" x14ac:dyDescent="0.2">
      <c r="W103">
        <v>2001</v>
      </c>
      <c r="X103">
        <v>478433</v>
      </c>
      <c r="Y103" s="3">
        <v>307315</v>
      </c>
      <c r="AA103">
        <v>59869</v>
      </c>
      <c r="AB103" s="3">
        <v>32322</v>
      </c>
    </row>
    <row r="104" spans="23:28" x14ac:dyDescent="0.2">
      <c r="W104">
        <v>2001</v>
      </c>
      <c r="X104">
        <v>478433</v>
      </c>
      <c r="Y104" s="3">
        <v>307315</v>
      </c>
      <c r="AA104">
        <v>59824</v>
      </c>
      <c r="AB104" s="3">
        <v>40056</v>
      </c>
    </row>
    <row r="105" spans="23:28" x14ac:dyDescent="0.2">
      <c r="W105">
        <v>2001</v>
      </c>
      <c r="X105">
        <v>478433</v>
      </c>
      <c r="Y105" s="3">
        <v>307315</v>
      </c>
      <c r="AA105">
        <v>59870</v>
      </c>
      <c r="AB105" s="3">
        <v>48883</v>
      </c>
    </row>
    <row r="106" spans="23:28" x14ac:dyDescent="0.2">
      <c r="W106">
        <v>2002</v>
      </c>
      <c r="X106">
        <v>508788</v>
      </c>
      <c r="Y106">
        <v>327272</v>
      </c>
      <c r="AA106">
        <v>63127</v>
      </c>
      <c r="AB106">
        <v>28980</v>
      </c>
    </row>
    <row r="107" spans="23:28" x14ac:dyDescent="0.2">
      <c r="W107">
        <v>2002</v>
      </c>
      <c r="X107">
        <v>508788</v>
      </c>
      <c r="Y107">
        <v>327272</v>
      </c>
      <c r="AA107">
        <v>63329</v>
      </c>
      <c r="AB107">
        <v>30014</v>
      </c>
    </row>
    <row r="108" spans="23:28" x14ac:dyDescent="0.2">
      <c r="W108">
        <v>2002</v>
      </c>
      <c r="X108">
        <v>508788</v>
      </c>
      <c r="Y108">
        <v>327272</v>
      </c>
      <c r="AA108">
        <v>63363</v>
      </c>
      <c r="AB108">
        <v>59702</v>
      </c>
    </row>
    <row r="109" spans="23:28" x14ac:dyDescent="0.2">
      <c r="W109">
        <v>2002</v>
      </c>
      <c r="X109">
        <v>508788</v>
      </c>
      <c r="Y109">
        <v>327272</v>
      </c>
      <c r="AA109">
        <v>63284</v>
      </c>
      <c r="AB109">
        <v>47819</v>
      </c>
    </row>
    <row r="110" spans="23:28" x14ac:dyDescent="0.2">
      <c r="W110">
        <v>2002</v>
      </c>
      <c r="X110">
        <v>508788</v>
      </c>
      <c r="Y110">
        <v>327272</v>
      </c>
      <c r="AA110">
        <v>63313</v>
      </c>
      <c r="AB110">
        <v>29252</v>
      </c>
    </row>
    <row r="111" spans="23:28" x14ac:dyDescent="0.2">
      <c r="W111">
        <v>2002</v>
      </c>
      <c r="X111">
        <v>508788</v>
      </c>
      <c r="Y111">
        <v>327272</v>
      </c>
      <c r="AA111">
        <v>64196</v>
      </c>
      <c r="AB111">
        <v>58814</v>
      </c>
    </row>
    <row r="112" spans="23:28" x14ac:dyDescent="0.2">
      <c r="W112">
        <v>2002</v>
      </c>
      <c r="X112">
        <v>508788</v>
      </c>
      <c r="Y112">
        <v>327272</v>
      </c>
      <c r="AA112">
        <v>64070</v>
      </c>
      <c r="AB112">
        <v>28640</v>
      </c>
    </row>
    <row r="113" spans="23:28" x14ac:dyDescent="0.2">
      <c r="W113">
        <v>2002</v>
      </c>
      <c r="X113">
        <v>508788</v>
      </c>
      <c r="Y113">
        <v>327272</v>
      </c>
      <c r="AA113">
        <v>64106</v>
      </c>
      <c r="AB113">
        <v>44051</v>
      </c>
    </row>
    <row r="114" spans="23:28" x14ac:dyDescent="0.2">
      <c r="W114">
        <v>2003</v>
      </c>
      <c r="X114">
        <v>562819</v>
      </c>
      <c r="Y114">
        <v>288499</v>
      </c>
      <c r="AA114">
        <v>70505</v>
      </c>
      <c r="AB114">
        <v>23127</v>
      </c>
    </row>
    <row r="115" spans="23:28" x14ac:dyDescent="0.2">
      <c r="W115">
        <v>2003</v>
      </c>
      <c r="X115">
        <v>562819</v>
      </c>
      <c r="Y115">
        <v>288499</v>
      </c>
      <c r="AA115">
        <v>70244</v>
      </c>
      <c r="AB115">
        <v>58784</v>
      </c>
    </row>
    <row r="116" spans="23:28" x14ac:dyDescent="0.2">
      <c r="W116">
        <v>2003</v>
      </c>
      <c r="X116">
        <v>562819</v>
      </c>
      <c r="Y116">
        <v>288499</v>
      </c>
      <c r="AA116">
        <v>70365</v>
      </c>
      <c r="AB116">
        <v>24193</v>
      </c>
    </row>
    <row r="117" spans="23:28" x14ac:dyDescent="0.2">
      <c r="W117">
        <v>2003</v>
      </c>
      <c r="X117">
        <v>562819</v>
      </c>
      <c r="Y117">
        <v>288499</v>
      </c>
      <c r="AA117">
        <v>70407</v>
      </c>
      <c r="AB117">
        <v>40824</v>
      </c>
    </row>
    <row r="118" spans="23:28" x14ac:dyDescent="0.2">
      <c r="W118">
        <v>2003</v>
      </c>
      <c r="X118">
        <v>562819</v>
      </c>
      <c r="Y118">
        <v>288499</v>
      </c>
      <c r="AA118">
        <v>70291</v>
      </c>
      <c r="AB118">
        <v>23531</v>
      </c>
    </row>
    <row r="119" spans="23:28" x14ac:dyDescent="0.2">
      <c r="W119">
        <v>2003</v>
      </c>
      <c r="X119">
        <v>562819</v>
      </c>
      <c r="Y119">
        <v>288499</v>
      </c>
      <c r="AA119">
        <v>70250</v>
      </c>
      <c r="AB119">
        <v>42089</v>
      </c>
    </row>
    <row r="120" spans="23:28" x14ac:dyDescent="0.2">
      <c r="W120">
        <v>2003</v>
      </c>
      <c r="X120">
        <v>562819</v>
      </c>
      <c r="Y120">
        <v>288499</v>
      </c>
      <c r="AA120">
        <v>70458</v>
      </c>
      <c r="AB120">
        <v>23217</v>
      </c>
    </row>
    <row r="121" spans="23:28" x14ac:dyDescent="0.2">
      <c r="W121">
        <v>2003</v>
      </c>
      <c r="X121">
        <v>562819</v>
      </c>
      <c r="Y121">
        <v>288499</v>
      </c>
      <c r="AA121">
        <v>70299</v>
      </c>
      <c r="AB121">
        <v>52734</v>
      </c>
    </row>
    <row r="122" spans="23:28" x14ac:dyDescent="0.2">
      <c r="W122">
        <v>2004</v>
      </c>
      <c r="X122">
        <v>564400</v>
      </c>
      <c r="Y122">
        <v>300267</v>
      </c>
      <c r="AA122">
        <v>70688</v>
      </c>
      <c r="AB122">
        <v>51557</v>
      </c>
    </row>
    <row r="123" spans="23:28" x14ac:dyDescent="0.2">
      <c r="W123">
        <v>2004</v>
      </c>
      <c r="X123">
        <v>564400</v>
      </c>
      <c r="Y123">
        <v>300267</v>
      </c>
      <c r="AA123">
        <v>70623</v>
      </c>
      <c r="AB123">
        <v>28109</v>
      </c>
    </row>
    <row r="124" spans="23:28" x14ac:dyDescent="0.2">
      <c r="W124">
        <v>2004</v>
      </c>
      <c r="X124">
        <v>564400</v>
      </c>
      <c r="Y124">
        <v>300267</v>
      </c>
      <c r="AA124">
        <v>70420</v>
      </c>
      <c r="AB124">
        <v>35695</v>
      </c>
    </row>
    <row r="125" spans="23:28" x14ac:dyDescent="0.2">
      <c r="W125">
        <v>2004</v>
      </c>
      <c r="X125">
        <v>564400</v>
      </c>
      <c r="Y125">
        <v>300267</v>
      </c>
      <c r="AA125">
        <v>70679</v>
      </c>
      <c r="AB125">
        <v>42297</v>
      </c>
    </row>
    <row r="126" spans="23:28" x14ac:dyDescent="0.2">
      <c r="W126">
        <v>2004</v>
      </c>
      <c r="X126">
        <v>564400</v>
      </c>
      <c r="Y126">
        <v>300267</v>
      </c>
      <c r="AA126">
        <v>70671</v>
      </c>
      <c r="AB126">
        <v>35820</v>
      </c>
    </row>
    <row r="127" spans="23:28" x14ac:dyDescent="0.2">
      <c r="W127">
        <v>2004</v>
      </c>
      <c r="X127">
        <v>564400</v>
      </c>
      <c r="Y127">
        <v>300267</v>
      </c>
      <c r="AA127">
        <v>70385</v>
      </c>
      <c r="AB127">
        <v>35069</v>
      </c>
    </row>
    <row r="128" spans="23:28" x14ac:dyDescent="0.2">
      <c r="W128">
        <v>2004</v>
      </c>
      <c r="X128">
        <v>564400</v>
      </c>
      <c r="Y128">
        <v>300267</v>
      </c>
      <c r="AA128">
        <v>70497</v>
      </c>
      <c r="AB128">
        <v>40070</v>
      </c>
    </row>
    <row r="129" spans="23:28" x14ac:dyDescent="0.2">
      <c r="W129">
        <v>2004</v>
      </c>
      <c r="X129">
        <v>564400</v>
      </c>
      <c r="Y129">
        <v>300267</v>
      </c>
      <c r="AA129">
        <v>70437</v>
      </c>
      <c r="AB129">
        <v>31650</v>
      </c>
    </row>
    <row r="130" spans="23:28" x14ac:dyDescent="0.2">
      <c r="W130" s="3">
        <v>2005</v>
      </c>
      <c r="X130" s="3">
        <v>562419</v>
      </c>
      <c r="Y130">
        <v>401035</v>
      </c>
      <c r="AA130" s="3">
        <v>70400</v>
      </c>
      <c r="AB130">
        <v>45160</v>
      </c>
    </row>
    <row r="131" spans="23:28" x14ac:dyDescent="0.2">
      <c r="W131" s="3">
        <v>2005</v>
      </c>
      <c r="X131" s="3">
        <v>562419</v>
      </c>
      <c r="Y131">
        <v>401035</v>
      </c>
      <c r="AA131" s="3">
        <v>70518</v>
      </c>
      <c r="AB131">
        <v>30467</v>
      </c>
    </row>
    <row r="132" spans="23:28" x14ac:dyDescent="0.2">
      <c r="W132" s="3">
        <v>2005</v>
      </c>
      <c r="X132" s="3">
        <v>562419</v>
      </c>
      <c r="Y132">
        <v>401035</v>
      </c>
      <c r="AA132" s="3">
        <v>70580</v>
      </c>
      <c r="AB132">
        <v>38809</v>
      </c>
    </row>
    <row r="133" spans="23:28" x14ac:dyDescent="0.2">
      <c r="W133" s="3">
        <v>2005</v>
      </c>
      <c r="X133" s="3">
        <v>562419</v>
      </c>
      <c r="Y133">
        <v>401035</v>
      </c>
      <c r="AA133" s="3">
        <v>70607</v>
      </c>
      <c r="AB133">
        <v>39482</v>
      </c>
    </row>
    <row r="134" spans="23:28" x14ac:dyDescent="0.2">
      <c r="W134" s="3">
        <v>2005</v>
      </c>
      <c r="X134" s="3">
        <v>562419</v>
      </c>
      <c r="Y134">
        <v>401035</v>
      </c>
      <c r="AA134" s="3">
        <v>70610</v>
      </c>
      <c r="AB134">
        <v>43542</v>
      </c>
    </row>
    <row r="135" spans="23:28" x14ac:dyDescent="0.2">
      <c r="W135" s="3">
        <v>2005</v>
      </c>
      <c r="X135" s="3">
        <v>562419</v>
      </c>
      <c r="Y135">
        <v>401035</v>
      </c>
      <c r="AA135" s="3">
        <v>70019</v>
      </c>
      <c r="AB135">
        <v>39198</v>
      </c>
    </row>
    <row r="136" spans="23:28" x14ac:dyDescent="0.2">
      <c r="W136" s="3">
        <v>2005</v>
      </c>
      <c r="X136" s="3">
        <v>562419</v>
      </c>
      <c r="Y136">
        <v>401035</v>
      </c>
      <c r="AA136" s="3">
        <v>69757</v>
      </c>
      <c r="AB136">
        <v>46654</v>
      </c>
    </row>
    <row r="137" spans="23:28" x14ac:dyDescent="0.2">
      <c r="W137" s="3">
        <v>2005</v>
      </c>
      <c r="X137" s="3">
        <v>562419</v>
      </c>
      <c r="Y137">
        <v>401035</v>
      </c>
      <c r="AA137" s="3">
        <v>69928</v>
      </c>
      <c r="AB137">
        <v>44723</v>
      </c>
    </row>
    <row r="138" spans="23:28" x14ac:dyDescent="0.2">
      <c r="W138">
        <v>2006</v>
      </c>
      <c r="X138">
        <v>565749</v>
      </c>
      <c r="Y138">
        <v>508829</v>
      </c>
      <c r="AA138">
        <v>70918</v>
      </c>
      <c r="AB138">
        <v>63407</v>
      </c>
    </row>
    <row r="139" spans="23:28" x14ac:dyDescent="0.2">
      <c r="W139">
        <v>2006</v>
      </c>
      <c r="X139">
        <v>565749</v>
      </c>
      <c r="Y139">
        <v>508829</v>
      </c>
      <c r="AA139">
        <v>70602</v>
      </c>
      <c r="AB139">
        <v>63278</v>
      </c>
    </row>
    <row r="140" spans="23:28" x14ac:dyDescent="0.2">
      <c r="W140">
        <v>2006</v>
      </c>
      <c r="X140">
        <v>565749</v>
      </c>
      <c r="Y140">
        <v>508829</v>
      </c>
      <c r="AA140">
        <v>70804</v>
      </c>
      <c r="AB140">
        <v>63445</v>
      </c>
    </row>
    <row r="141" spans="23:28" x14ac:dyDescent="0.2">
      <c r="W141">
        <v>2006</v>
      </c>
      <c r="X141">
        <v>565749</v>
      </c>
      <c r="Y141">
        <v>508829</v>
      </c>
      <c r="AA141">
        <v>70809</v>
      </c>
      <c r="AB141">
        <v>63977</v>
      </c>
    </row>
    <row r="142" spans="23:28" x14ac:dyDescent="0.2">
      <c r="W142">
        <v>2006</v>
      </c>
      <c r="X142">
        <v>565749</v>
      </c>
      <c r="Y142">
        <v>508829</v>
      </c>
      <c r="AA142">
        <v>70753</v>
      </c>
      <c r="AB142">
        <v>63926</v>
      </c>
    </row>
    <row r="143" spans="23:28" x14ac:dyDescent="0.2">
      <c r="W143">
        <v>2006</v>
      </c>
      <c r="X143">
        <v>565749</v>
      </c>
      <c r="Y143">
        <v>508829</v>
      </c>
      <c r="AA143">
        <v>70527</v>
      </c>
      <c r="AB143">
        <v>63348</v>
      </c>
    </row>
    <row r="144" spans="23:28" x14ac:dyDescent="0.2">
      <c r="W144">
        <v>2006</v>
      </c>
      <c r="X144">
        <v>565749</v>
      </c>
      <c r="Y144">
        <v>508829</v>
      </c>
      <c r="AA144">
        <v>70472</v>
      </c>
      <c r="AB144">
        <v>63603</v>
      </c>
    </row>
    <row r="145" spans="23:28" x14ac:dyDescent="0.2">
      <c r="W145">
        <v>2006</v>
      </c>
      <c r="X145">
        <v>565749</v>
      </c>
      <c r="Y145">
        <v>508829</v>
      </c>
      <c r="AA145">
        <v>70864</v>
      </c>
      <c r="AB145">
        <v>63845</v>
      </c>
    </row>
    <row r="146" spans="23:28" x14ac:dyDescent="0.2">
      <c r="W146">
        <v>2007</v>
      </c>
      <c r="X146">
        <v>566443</v>
      </c>
      <c r="Y146">
        <v>516646</v>
      </c>
      <c r="AA146">
        <v>70598</v>
      </c>
      <c r="AB146">
        <v>64542</v>
      </c>
    </row>
    <row r="147" spans="23:28" x14ac:dyDescent="0.2">
      <c r="W147">
        <v>2007</v>
      </c>
      <c r="X147">
        <v>566443</v>
      </c>
      <c r="Y147">
        <v>516646</v>
      </c>
      <c r="AA147">
        <v>70733</v>
      </c>
      <c r="AB147">
        <v>64844</v>
      </c>
    </row>
    <row r="148" spans="23:28" x14ac:dyDescent="0.2">
      <c r="W148">
        <v>2007</v>
      </c>
      <c r="X148">
        <v>566443</v>
      </c>
      <c r="Y148">
        <v>516646</v>
      </c>
      <c r="AA148">
        <v>70904</v>
      </c>
      <c r="AB148">
        <v>64403</v>
      </c>
    </row>
    <row r="149" spans="23:28" x14ac:dyDescent="0.2">
      <c r="W149">
        <v>2007</v>
      </c>
      <c r="X149">
        <v>566443</v>
      </c>
      <c r="Y149">
        <v>516646</v>
      </c>
      <c r="AA149">
        <v>70761</v>
      </c>
      <c r="AB149">
        <v>64753</v>
      </c>
    </row>
    <row r="150" spans="23:28" x14ac:dyDescent="0.2">
      <c r="W150">
        <v>2007</v>
      </c>
      <c r="X150">
        <v>566443</v>
      </c>
      <c r="Y150">
        <v>516646</v>
      </c>
      <c r="AA150">
        <v>70945</v>
      </c>
      <c r="AB150">
        <v>64483</v>
      </c>
    </row>
    <row r="151" spans="23:28" x14ac:dyDescent="0.2">
      <c r="W151">
        <v>2007</v>
      </c>
      <c r="X151">
        <v>566443</v>
      </c>
      <c r="Y151">
        <v>516646</v>
      </c>
      <c r="AA151">
        <v>70805</v>
      </c>
      <c r="AB151">
        <v>64791</v>
      </c>
    </row>
    <row r="152" spans="23:28" x14ac:dyDescent="0.2">
      <c r="W152">
        <v>2007</v>
      </c>
      <c r="X152">
        <v>566443</v>
      </c>
      <c r="Y152">
        <v>516646</v>
      </c>
      <c r="AA152">
        <v>70828</v>
      </c>
      <c r="AB152">
        <v>64159</v>
      </c>
    </row>
    <row r="153" spans="23:28" x14ac:dyDescent="0.2">
      <c r="W153">
        <v>2007</v>
      </c>
      <c r="X153">
        <v>566443</v>
      </c>
      <c r="Y153">
        <v>516646</v>
      </c>
      <c r="AA153">
        <v>70869</v>
      </c>
      <c r="AB153">
        <v>64671</v>
      </c>
    </row>
    <row r="154" spans="23:28" x14ac:dyDescent="0.2">
      <c r="W154">
        <v>2008</v>
      </c>
      <c r="X154">
        <v>565460</v>
      </c>
      <c r="Y154">
        <v>512775</v>
      </c>
      <c r="AA154">
        <v>71004</v>
      </c>
      <c r="AB154">
        <v>63445</v>
      </c>
    </row>
    <row r="155" spans="23:28" x14ac:dyDescent="0.2">
      <c r="W155">
        <v>2008</v>
      </c>
      <c r="X155">
        <v>565460</v>
      </c>
      <c r="Y155">
        <v>512775</v>
      </c>
      <c r="AA155">
        <v>71113</v>
      </c>
      <c r="AB155">
        <v>63830</v>
      </c>
    </row>
    <row r="156" spans="23:28" x14ac:dyDescent="0.2">
      <c r="W156">
        <v>2008</v>
      </c>
      <c r="X156">
        <v>565460</v>
      </c>
      <c r="Y156">
        <v>512775</v>
      </c>
      <c r="AA156">
        <v>70610</v>
      </c>
      <c r="AB156">
        <v>64389</v>
      </c>
    </row>
    <row r="157" spans="23:28" x14ac:dyDescent="0.2">
      <c r="W157">
        <v>2008</v>
      </c>
      <c r="X157">
        <v>565460</v>
      </c>
      <c r="Y157">
        <v>512775</v>
      </c>
      <c r="AA157">
        <v>71010</v>
      </c>
      <c r="AB157">
        <v>64519</v>
      </c>
    </row>
    <row r="158" spans="23:28" x14ac:dyDescent="0.2">
      <c r="W158">
        <v>2008</v>
      </c>
      <c r="X158">
        <v>565460</v>
      </c>
      <c r="Y158">
        <v>512775</v>
      </c>
      <c r="AA158">
        <v>71040</v>
      </c>
      <c r="AB158">
        <v>64541</v>
      </c>
    </row>
    <row r="159" spans="23:28" x14ac:dyDescent="0.2">
      <c r="W159">
        <v>2008</v>
      </c>
      <c r="X159">
        <v>565460</v>
      </c>
      <c r="Y159">
        <v>512775</v>
      </c>
      <c r="AA159">
        <v>70297</v>
      </c>
      <c r="AB159">
        <v>63720</v>
      </c>
    </row>
    <row r="160" spans="23:28" x14ac:dyDescent="0.2">
      <c r="W160">
        <v>2008</v>
      </c>
      <c r="X160">
        <v>565460</v>
      </c>
      <c r="Y160">
        <v>512775</v>
      </c>
      <c r="AA160">
        <v>70245</v>
      </c>
      <c r="AB160">
        <v>64457</v>
      </c>
    </row>
    <row r="161" spans="23:28" x14ac:dyDescent="0.2">
      <c r="W161">
        <v>2008</v>
      </c>
      <c r="X161">
        <v>565460</v>
      </c>
      <c r="Y161">
        <v>512775</v>
      </c>
      <c r="AA161">
        <v>70141</v>
      </c>
      <c r="AB161">
        <v>63874</v>
      </c>
    </row>
    <row r="162" spans="23:28" x14ac:dyDescent="0.2">
      <c r="W162">
        <v>2009</v>
      </c>
      <c r="X162">
        <v>565666</v>
      </c>
      <c r="Y162">
        <v>505143</v>
      </c>
      <c r="AA162">
        <v>70920</v>
      </c>
      <c r="AB162">
        <v>61981</v>
      </c>
    </row>
    <row r="163" spans="23:28" x14ac:dyDescent="0.2">
      <c r="W163">
        <v>2009</v>
      </c>
      <c r="X163">
        <v>565666</v>
      </c>
      <c r="Y163">
        <v>505143</v>
      </c>
      <c r="AA163">
        <v>70678</v>
      </c>
      <c r="AB163">
        <v>62692</v>
      </c>
    </row>
    <row r="164" spans="23:28" x14ac:dyDescent="0.2">
      <c r="W164">
        <v>2009</v>
      </c>
      <c r="X164">
        <v>565666</v>
      </c>
      <c r="Y164">
        <v>505143</v>
      </c>
      <c r="AA164">
        <v>70801</v>
      </c>
      <c r="AB164">
        <v>61819</v>
      </c>
    </row>
    <row r="165" spans="23:28" x14ac:dyDescent="0.2">
      <c r="W165">
        <v>2009</v>
      </c>
      <c r="X165">
        <v>565666</v>
      </c>
      <c r="Y165">
        <v>505143</v>
      </c>
      <c r="AA165">
        <v>71213</v>
      </c>
      <c r="AB165">
        <v>62031</v>
      </c>
    </row>
    <row r="166" spans="23:28" x14ac:dyDescent="0.2">
      <c r="W166">
        <v>2009</v>
      </c>
      <c r="X166">
        <v>565666</v>
      </c>
      <c r="Y166">
        <v>505143</v>
      </c>
      <c r="AA166">
        <v>70894</v>
      </c>
      <c r="AB166">
        <v>62278</v>
      </c>
    </row>
    <row r="167" spans="23:28" x14ac:dyDescent="0.2">
      <c r="W167">
        <v>2009</v>
      </c>
      <c r="X167">
        <v>565666</v>
      </c>
      <c r="Y167">
        <v>505143</v>
      </c>
      <c r="AA167">
        <v>70445</v>
      </c>
      <c r="AB167">
        <v>64121</v>
      </c>
    </row>
    <row r="168" spans="23:28" x14ac:dyDescent="0.2">
      <c r="W168">
        <v>2009</v>
      </c>
      <c r="X168">
        <v>565666</v>
      </c>
      <c r="Y168">
        <v>505143</v>
      </c>
      <c r="AA168">
        <v>70286</v>
      </c>
      <c r="AB168">
        <v>62624</v>
      </c>
    </row>
    <row r="169" spans="23:28" x14ac:dyDescent="0.2">
      <c r="W169">
        <v>2009</v>
      </c>
      <c r="X169">
        <v>565666</v>
      </c>
      <c r="Y169">
        <v>505143</v>
      </c>
      <c r="AA169">
        <v>70429</v>
      </c>
      <c r="AB169">
        <v>67597</v>
      </c>
    </row>
    <row r="170" spans="23:28" x14ac:dyDescent="0.2">
      <c r="W170">
        <v>2010</v>
      </c>
      <c r="X170">
        <v>566362</v>
      </c>
      <c r="Y170">
        <v>502197</v>
      </c>
      <c r="AA170">
        <v>70741</v>
      </c>
      <c r="AB170">
        <v>62439</v>
      </c>
    </row>
    <row r="171" spans="23:28" x14ac:dyDescent="0.2">
      <c r="W171">
        <v>2010</v>
      </c>
      <c r="X171">
        <v>566362</v>
      </c>
      <c r="Y171">
        <v>502197</v>
      </c>
      <c r="AA171">
        <v>70729</v>
      </c>
      <c r="AB171">
        <v>62621</v>
      </c>
    </row>
    <row r="172" spans="23:28" x14ac:dyDescent="0.2">
      <c r="W172">
        <v>2010</v>
      </c>
      <c r="X172">
        <v>566362</v>
      </c>
      <c r="Y172">
        <v>502197</v>
      </c>
      <c r="AA172">
        <v>70815</v>
      </c>
      <c r="AB172">
        <v>61857</v>
      </c>
    </row>
    <row r="173" spans="23:28" x14ac:dyDescent="0.2">
      <c r="W173">
        <v>2010</v>
      </c>
      <c r="X173">
        <v>566362</v>
      </c>
      <c r="Y173">
        <v>502197</v>
      </c>
      <c r="AA173">
        <v>71107</v>
      </c>
      <c r="AB173">
        <v>61904</v>
      </c>
    </row>
    <row r="174" spans="23:28" x14ac:dyDescent="0.2">
      <c r="W174">
        <v>2010</v>
      </c>
      <c r="X174">
        <v>566362</v>
      </c>
      <c r="Y174">
        <v>502197</v>
      </c>
      <c r="AA174">
        <v>70913</v>
      </c>
      <c r="AB174">
        <v>62308</v>
      </c>
    </row>
    <row r="175" spans="23:28" x14ac:dyDescent="0.2">
      <c r="W175">
        <v>2010</v>
      </c>
      <c r="X175">
        <v>566362</v>
      </c>
      <c r="Y175">
        <v>502197</v>
      </c>
      <c r="AA175">
        <v>70575</v>
      </c>
      <c r="AB175">
        <v>61874</v>
      </c>
    </row>
    <row r="176" spans="23:28" x14ac:dyDescent="0.2">
      <c r="W176">
        <v>2010</v>
      </c>
      <c r="X176">
        <v>566362</v>
      </c>
      <c r="Y176">
        <v>502197</v>
      </c>
      <c r="AA176">
        <v>70649</v>
      </c>
      <c r="AB176">
        <v>62223</v>
      </c>
    </row>
    <row r="177" spans="23:28" x14ac:dyDescent="0.2">
      <c r="W177">
        <v>2010</v>
      </c>
      <c r="X177">
        <v>566362</v>
      </c>
      <c r="Y177">
        <v>502197</v>
      </c>
      <c r="AA177">
        <v>70833</v>
      </c>
      <c r="AB177">
        <v>66971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Troy Spellman</dc:creator>
  <cp:lastModifiedBy>Troy Spellman</cp:lastModifiedBy>
  <dcterms:created xsi:type="dcterms:W3CDTF">2024-11-22T19:19:59Z</dcterms:created>
  <dcterms:modified xsi:type="dcterms:W3CDTF">2024-11-22T19:23:32Z</dcterms:modified>
</cp:coreProperties>
</file>